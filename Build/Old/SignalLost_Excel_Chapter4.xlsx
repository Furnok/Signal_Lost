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ymis-my.sharepoint.com/personal/b_perrin6_stu-bellecour_fr/Documents/Signal Lost/Project Documentation/"/>
    </mc:Choice>
  </mc:AlternateContent>
  <xr:revisionPtr revIDLastSave="2638" documentId="6_{44740759-587A-480E-8E44-FD34939DF522}" xr6:coauthVersionLast="47" xr6:coauthVersionMax="47" xr10:uidLastSave="{B8438685-1FDB-447D-8D2B-C7D67943F751}"/>
  <bookViews>
    <workbookView xWindow="-120" yWindow="-120" windowWidth="29040" windowHeight="158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1" l="1"/>
  <c r="D144" i="1"/>
  <c r="D145" i="1"/>
  <c r="D146" i="1"/>
  <c r="D133" i="1"/>
  <c r="D143" i="1"/>
  <c r="D136" i="1"/>
  <c r="D135" i="1"/>
  <c r="E135" i="1"/>
  <c r="D134" i="1"/>
  <c r="D79" i="1"/>
  <c r="D141" i="1"/>
  <c r="E140" i="1"/>
  <c r="D140" i="1"/>
  <c r="D139" i="1"/>
  <c r="E139" i="1"/>
  <c r="D132" i="1"/>
  <c r="D108" i="1"/>
  <c r="D113" i="1"/>
  <c r="D131" i="1"/>
  <c r="D38" i="1"/>
  <c r="D33" i="1"/>
  <c r="F109" i="1"/>
  <c r="F112" i="1"/>
  <c r="E112" i="1"/>
  <c r="D112" i="1"/>
  <c r="F111" i="1"/>
  <c r="E111" i="1"/>
  <c r="D111" i="1"/>
  <c r="F110" i="1"/>
  <c r="E110" i="1"/>
  <c r="D110" i="1"/>
  <c r="E109" i="1"/>
  <c r="D109" i="1"/>
  <c r="E107" i="1"/>
  <c r="D31" i="1"/>
  <c r="D23" i="1"/>
  <c r="F26" i="1"/>
  <c r="D26" i="1"/>
  <c r="D107" i="1"/>
  <c r="E106" i="1"/>
  <c r="D106" i="1"/>
  <c r="D105" i="1"/>
  <c r="D104" i="1"/>
  <c r="D103" i="1"/>
  <c r="D102" i="1"/>
  <c r="D101" i="1"/>
  <c r="D100" i="1"/>
  <c r="D99" i="1"/>
  <c r="E99" i="1"/>
  <c r="E98" i="1"/>
  <c r="D98" i="1"/>
  <c r="D97" i="1"/>
  <c r="E95" i="1"/>
  <c r="D94" i="1"/>
  <c r="E34" i="1"/>
  <c r="D93" i="1"/>
  <c r="D34" i="1"/>
  <c r="E32" i="1"/>
  <c r="D32" i="1"/>
  <c r="F94" i="1"/>
  <c r="E30" i="1"/>
  <c r="D30" i="1"/>
  <c r="E94" i="1"/>
  <c r="F28" i="1"/>
  <c r="E28" i="1"/>
  <c r="D28" i="1"/>
  <c r="E27" i="1"/>
  <c r="D27" i="1"/>
  <c r="E93" i="1"/>
  <c r="F93" i="1"/>
  <c r="E26" i="1"/>
  <c r="E25" i="1"/>
  <c r="D25" i="1"/>
  <c r="E24" i="1"/>
  <c r="D92" i="1"/>
  <c r="D91" i="1"/>
  <c r="F90" i="1"/>
  <c r="D24" i="1"/>
  <c r="E90" i="1"/>
  <c r="D90" i="1"/>
  <c r="E22" i="1"/>
  <c r="D22" i="1"/>
  <c r="E21" i="1"/>
  <c r="D21" i="1"/>
  <c r="E20" i="1"/>
  <c r="D20" i="1"/>
  <c r="E89" i="1"/>
  <c r="E19" i="1"/>
  <c r="D19" i="1"/>
  <c r="E18" i="1"/>
  <c r="D89" i="1"/>
  <c r="D18" i="1"/>
  <c r="E17" i="1"/>
  <c r="D17" i="1"/>
  <c r="E16" i="1"/>
  <c r="D16" i="1"/>
  <c r="E15" i="1"/>
  <c r="D15" i="1"/>
  <c r="D14" i="1"/>
  <c r="E10" i="1"/>
  <c r="D12" i="1"/>
  <c r="F129" i="1"/>
  <c r="E129" i="1"/>
  <c r="D129" i="1"/>
  <c r="E128" i="1"/>
  <c r="D128" i="1"/>
  <c r="D127" i="1"/>
  <c r="D126" i="1"/>
  <c r="D125" i="1"/>
  <c r="E124" i="1"/>
  <c r="D124" i="1"/>
  <c r="D123" i="1"/>
  <c r="D122" i="1"/>
  <c r="D121" i="1"/>
  <c r="D120" i="1"/>
  <c r="D119" i="1"/>
  <c r="D118" i="1"/>
  <c r="D117" i="1"/>
  <c r="D116" i="1"/>
  <c r="D115" i="1"/>
  <c r="D114" i="1"/>
  <c r="F95" i="1"/>
  <c r="D95" i="1"/>
  <c r="E12" i="1"/>
  <c r="D88" i="1"/>
  <c r="D10" i="1"/>
  <c r="D8" i="1"/>
  <c r="D9" i="1"/>
  <c r="D87" i="1"/>
  <c r="E86" i="1"/>
  <c r="D86" i="1"/>
  <c r="D85" i="1"/>
  <c r="E84" i="1"/>
  <c r="D84" i="1"/>
  <c r="D83" i="1"/>
  <c r="E82" i="1"/>
  <c r="D82" i="1"/>
  <c r="D81" i="1"/>
  <c r="D80" i="1"/>
  <c r="E67" i="1"/>
  <c r="E9" i="1"/>
  <c r="D68" i="1"/>
  <c r="D67" i="1"/>
  <c r="E8" i="1"/>
  <c r="E7" i="1"/>
  <c r="D7" i="1"/>
  <c r="F50" i="1"/>
  <c r="D50" i="1"/>
  <c r="E29" i="1"/>
  <c r="D29" i="1"/>
  <c r="E13" i="1"/>
  <c r="D13" i="1"/>
  <c r="E11" i="1"/>
  <c r="D11" i="1"/>
  <c r="D6" i="1"/>
  <c r="F5" i="1"/>
  <c r="E5" i="1"/>
  <c r="D5" i="1"/>
  <c r="E4" i="1"/>
  <c r="D4" i="1"/>
  <c r="D3" i="1"/>
  <c r="E2" i="1"/>
  <c r="D2" i="1"/>
  <c r="D66" i="1"/>
  <c r="D65" i="1"/>
  <c r="E63" i="1"/>
  <c r="D64" i="1"/>
  <c r="D63" i="1"/>
  <c r="E61" i="1"/>
  <c r="E60" i="1"/>
  <c r="E62" i="1"/>
  <c r="D62" i="1"/>
  <c r="D61" i="1"/>
  <c r="D60" i="1"/>
  <c r="E59" i="1"/>
  <c r="E50" i="1"/>
  <c r="D59" i="1"/>
  <c r="D58" i="1"/>
  <c r="E55" i="1"/>
  <c r="E56" i="1"/>
  <c r="E57" i="1"/>
  <c r="E58" i="1"/>
  <c r="D57" i="1"/>
  <c r="F55" i="1"/>
  <c r="D56" i="1"/>
  <c r="D55" i="1"/>
  <c r="E53" i="1"/>
  <c r="D53" i="1"/>
  <c r="F49" i="1"/>
  <c r="D54" i="1"/>
  <c r="E54" i="1"/>
  <c r="F52" i="1"/>
  <c r="D52" i="1"/>
  <c r="E52" i="1"/>
  <c r="D48" i="1"/>
  <c r="F47" i="1"/>
  <c r="G49" i="1"/>
  <c r="E49" i="1"/>
  <c r="D49" i="1"/>
  <c r="G47" i="1"/>
  <c r="E47" i="1"/>
  <c r="D47" i="1"/>
  <c r="G45" i="1"/>
  <c r="F45" i="1"/>
  <c r="E45" i="1"/>
  <c r="D45" i="1"/>
  <c r="G46" i="1"/>
  <c r="E46" i="1"/>
  <c r="D46" i="1"/>
  <c r="F48" i="1"/>
  <c r="F46" i="1"/>
  <c r="D51" i="1"/>
  <c r="E48" i="1"/>
  <c r="G48" i="1"/>
  <c r="D44" i="1"/>
  <c r="D42" i="1"/>
  <c r="E39" i="1"/>
  <c r="E40" i="1"/>
  <c r="D41" i="1"/>
  <c r="D43" i="1"/>
  <c r="D39" i="1"/>
  <c r="D40" i="1"/>
  <c r="E38" i="1"/>
  <c r="E37" i="1"/>
  <c r="D37" i="1"/>
  <c r="D36" i="1"/>
  <c r="E35" i="1"/>
  <c r="D35" i="1"/>
  <c r="F13" i="1"/>
</calcChain>
</file>

<file path=xl/sharedStrings.xml><?xml version="1.0" encoding="utf-8"?>
<sst xmlns="http://schemas.openxmlformats.org/spreadsheetml/2006/main" count="251" uniqueCount="244">
  <si>
    <t>SCENE NUMBER</t>
  </si>
  <si>
    <t>SCENE NAME</t>
  </si>
  <si>
    <t>TEXT SCENE</t>
  </si>
  <si>
    <t>TEXT CHOICE 1</t>
  </si>
  <si>
    <t>TEXT CHOICE 2</t>
  </si>
  <si>
    <t>TEXT CHOICE 3</t>
  </si>
  <si>
    <t>TEXT CHOICE 4</t>
  </si>
  <si>
    <t>TEXT CHOICE 5</t>
  </si>
  <si>
    <t>HAS TIMER ?</t>
  </si>
  <si>
    <t>IS INFLUENCED BY TRUST ?</t>
  </si>
  <si>
    <t>Choice</t>
  </si>
  <si>
    <t>Yeah.+ Of all places, the factory seems like the place I could find answers and the key to my escape.+__
I'll go there if I can.+ Let's go.+__
*footsteps*+__</t>
  </si>
  <si>
    <t>Trivial
trust 1
(+)</t>
  </si>
  <si>
    <t>With how much all of this looks like a setup, I might find the fuse in there.+__
I just don't get why whoever is keeping me here left a working phone back there.+__
I'm just playing their game at this point.+__
*footsteps*+__</t>
  </si>
  <si>
    <t>Trivial
trust 1
(-)</t>
  </si>
  <si>
    <t>...+ I hope I can find the fuse, why are you asking?
*footsteps*+__</t>
  </si>
  <si>
    <t>Trivial
trust 1
(regain)</t>
  </si>
  <si>
    <t>I...+ I'm just really stressed-+_
...+
Listen, I might have found this phone but I don't feel like you're here to help...+__
I don't know, you've got to put yourself in my place a bit...+__
*footsteps*+__</t>
  </si>
  <si>
    <t>Trivial
trust 1
(success)</t>
  </si>
  <si>
    <t>You- I mean, you know- I get it. It's hard to handle some random person calling you for seemingly no reason.+__
...+__
But thanks for admitting that, I already feel safer if you're able to show a bit of self-awareness+__</t>
  </si>
  <si>
    <t>Trivial
trust 1
(success2)</t>
  </si>
  <si>
    <t>We are.+__
...+__
I've arrived to the entrance, but I have to get through a fence. It seems really fragile,__ so getting rid of it wouldn't be that hard. That thing's already quite damaged.
...+__
Or I could go around, there's no reason for a building like this not to have some kind of backdoor.+__</t>
  </si>
  <si>
    <t>Trivial
trust 1
(fail)</t>
  </si>
  <si>
    <t>Alright...+__
...+__
There's a metal fence around the entrance.+__
I should be able to push it, but going around and finding another entrance might be easier. +__</t>
  </si>
  <si>
    <t>Trivial
trust
(fence)</t>
  </si>
  <si>
    <t>Kind of...+ Yeah.+__
...+__
I got closer to the building, enough to realise the entrance's blocked by a fence.+__
It looks brittle enough, but getting around might also be easier,__
it only seems to block the main entrance.+__</t>
  </si>
  <si>
    <t xml:space="preserve">Trivial
trust 2
(+)
</t>
  </si>
  <si>
    <t>There seem to be a fence in front of the main entrance+__ 
I probably could get around and find another way to enter, but from this distance it looks really thin and rusted,__
I think pushing it down and getting over would prove quite easy.+__
What do you think?+__</t>
  </si>
  <si>
    <t xml:space="preserve">Trivial
trust 2
(-)
</t>
  </si>
  <si>
    <t>Do you expect something to block me? Why would you ask me that?+__</t>
  </si>
  <si>
    <t>Trivial
trust 2
(-)2</t>
  </si>
  <si>
    <t>I got myself a smart one, uh?+__
I'm being conditional 'cause there's a fence surrounding the entrance.+__
Either have to get around or through it.+__</t>
  </si>
  <si>
    <t>Trivial
trust 2
(regain)</t>
  </si>
  <si>
    <t>Oh-+ Yeah...+__
...+
I expected to feel better with someone else on the other end of the phone...+ But I-+__
You know...+ It's hard...+
*footsteps*+__</t>
  </si>
  <si>
    <t>Trivial
trust 2
(success)</t>
  </si>
  <si>
    <t>I-+ I get it.+
It's good you're able to put yourself in my place a bit.+ Thanks for acknowledging it.+__
I'm starting to feel a bit more hopeful about getting out of here if you're on my side.+__</t>
  </si>
  <si>
    <t>Trivial
trust2
(success2)</t>
  </si>
  <si>
    <t>I'm getting there.+ But I can already see the place's protected by a fence. It isn't a big deal, I could probably find another entrance.+__
*footsteps*+__
The metal looks brittle. I probably could bend it down and get over it.+__
What do you think?+__</t>
  </si>
  <si>
    <t>Trivial
trust2
(fail)</t>
  </si>
  <si>
    <t xml:space="preserve">Hm-+ Anyways, there's a fence blocking the way to the main entrance. I can either try and get through or go around.+__
It looks weak enough to be bent, but this kind of buildings tend to have backdoors.+__
</t>
  </si>
  <si>
    <t>Around
choice</t>
  </si>
  <si>
    <t>Yeah. The main entrance might be trapped, I'd rather find another way.+__
*footsteps*+__
Thinking outside the box might be the way to avoid some of the-+ ...+ psycho+ keeping me here's games.+__</t>
  </si>
  <si>
    <t>dialog1</t>
  </si>
  <si>
    <t>Good to know we're on the same line.+__
...+__
I know it sounds weird, but...+ I really like the slight breeze on this island. +__
 If it wasn't covered in trash and dull concrete, it'd be almost habitable.+__
I almost regret not going for a walk in the zoo, but I really need to find food and I'm not about eating a raw giraffe.+__</t>
  </si>
  <si>
    <t>dialog2</t>
  </si>
  <si>
    <t>...+ No need to make me doubt...+__
If that bastard really wants me to die I'm screwed anyways. Might as well minimize the risk.+__
...+__
Who knows...He might be an idiot+__</t>
  </si>
  <si>
    <t>comment zoo</t>
  </si>
  <si>
    <r>
      <rPr>
        <sz val="10"/>
        <color rgb="FF000000"/>
        <rFont val="Calibri"/>
      </rPr>
      <t xml:space="preserve">Talking about the zoo, guess what.+ It's awfully close to this place. I can see the inside of the enclosures from there.+__
Whoever designed this city should be fired.+ Or even set on fire.+ Because I'm stuck inside their shittily designed city.+ That prick.+__
</t>
    </r>
    <r>
      <rPr>
        <sz val="10"/>
        <color rgb="FF00B050"/>
        <rFont val="Calibri"/>
      </rPr>
      <t>#%*Distorted chuckle=#+__
#%Th  +re  Bet er off there wit+  me thAn aloNe in thE ZoO=#+__</t>
    </r>
  </si>
  <si>
    <t>comment zoo
(sus)</t>
  </si>
  <si>
    <r>
      <rPr>
        <sz val="10"/>
        <color rgb="FF000000"/>
        <rFont val="Calibri"/>
      </rPr>
      <t xml:space="preserve">Wouldn't be trying to defend them+, would we?+__
Errm-+ Anyways.+
Didn't realize the zoo was that close to the factory before.+ Civil engineering failed some.+__
</t>
    </r>
    <r>
      <rPr>
        <sz val="10"/>
        <color rgb="FF00B050"/>
        <rFont val="Calibri"/>
      </rPr>
      <t xml:space="preserve">#%DaNgeROus+ Pl cE.+ EXpE iments.=#+__
</t>
    </r>
    <r>
      <rPr>
        <sz val="10"/>
        <color rgb="FF000000"/>
        <rFont val="Calibri"/>
      </rPr>
      <t xml:space="preserve">
</t>
    </r>
  </si>
  <si>
    <t>ignore
entity</t>
  </si>
  <si>
    <t>Empty drums, debris, nothing but the usual shit.+__
Nowhere else to go, you see, so for now I'll keep looking.+__
Stressed out and hungry I feel, still haven't got anything to eat+__
I could really use oat meal, or anything that would get me going.+__</t>
  </si>
  <si>
    <t>see inscription</t>
  </si>
  <si>
    <t>You're-+__
There's something written on the wall.+__
...+__
Please don't be scary.+_
...+__
Oh god.+__</t>
  </si>
  <si>
    <t>question entity</t>
  </si>
  <si>
    <r>
      <rPr>
        <sz val="10"/>
        <color rgb="FF000000"/>
        <rFont val="Calibri"/>
      </rPr>
      <t xml:space="preserve">m-+ Me?+ As I've said before I-__
</t>
    </r>
    <r>
      <rPr>
        <sz val="10"/>
        <color rgb="FF00B050"/>
        <rFont val="Calibri"/>
      </rPr>
      <t>#%oNe Of tHE pREviouS=#</t>
    </r>
    <r>
      <rPr>
        <sz val="10"/>
        <color rgb="FF000000"/>
        <rFont val="Calibri"/>
      </rPr>
      <t xml:space="preserve"> +*static*+__
#</t>
    </r>
    <r>
      <rPr>
        <sz val="10"/>
        <color rgb="FF00B050"/>
        <rFont val="Calibri"/>
      </rPr>
      <t xml:space="preserve">%I'm hEre To +hElp+ You. I'm AblE To ComM  ICaTE thRoUGH+   e dEsaFECted ConTRol-=#+__
</t>
    </r>
    <r>
      <rPr>
        <sz val="10"/>
        <color rgb="FF000000"/>
        <rFont val="Calibri"/>
      </rPr>
      <t xml:space="preserve">*static*#+#+__
</t>
    </r>
    <r>
      <rPr>
        <sz val="10"/>
        <color rgb="FF00B050"/>
        <rFont val="Calibri"/>
      </rPr>
      <t xml:space="preserve">#%SurVivoR. I'm tryINg   #+  T oTherS oUT Of His Tr +PS.=#+__
</t>
    </r>
    <r>
      <rPr>
        <sz val="10"/>
        <color rgb="FF000000"/>
        <rFont val="Calibri"/>
      </rPr>
      <t>- once again, I do NOT know why I'm here nor about any kind of experiments, just help me, alright?+__</t>
    </r>
  </si>
  <si>
    <t>confusion</t>
  </si>
  <si>
    <r>
      <rPr>
        <sz val="10"/>
        <color rgb="FF000000"/>
        <rFont val="Calibri"/>
      </rPr>
      <t xml:space="preserve">What? Who are you talking to?+ You're really starting to freak me out.+__
</t>
    </r>
    <r>
      <rPr>
        <sz val="10"/>
        <color rgb="FF00B050"/>
        <rFont val="Calibri"/>
      </rPr>
      <t>#%cAN+t SaY M Re. Conn cTION unst+ BLE. YoU'lL gET +c+LoSER.=#+__</t>
    </r>
  </si>
  <si>
    <t>forget it</t>
  </si>
  <si>
    <t>Of course I'm going to worry!!! You're giving me no explanation after saying shit about some experiment. Are there more people with you?
...+__
You're always alternating between reinsuring and cryptic, talking to the fucking voices now!+__
Am-+ Am I a game to you? Are you going to fucking tell?!+__</t>
  </si>
  <si>
    <t>tell about entity</t>
  </si>
  <si>
    <t>And... You're just gonna say that now?+__
Uh... Nevermind. I'm not even gonna ask anymore.+__
.+.+.+__
But should we reaaally trust them?+__
I mean, why would anyone other than the person behind all of this try to talk to you, and why can't I hear them?+__</t>
  </si>
  <si>
    <t>interfere</t>
  </si>
  <si>
    <t>Which means...+ They're on the island.+__
Great.+__
That either means a helping hand... Or extra danger.+__
As if all of this needed more complexity.+__
So they're going to help you guide me if I understood well.+__
Doesn't sound like a trap.+__</t>
  </si>
  <si>
    <t>trust</t>
  </si>
  <si>
    <t>Yeah...+ I know.+__
Let's just think positively!+ Everything's...+ Fine.+__
New hope.+ Island friend.+ Good news aaall around.+__</t>
  </si>
  <si>
    <t>sus</t>
  </si>
  <si>
    <t>Uuh-+ Sure...+__
...+__
I'll-</t>
  </si>
  <si>
    <t>Of course.
Let's just start m-+__
...+__
Writings.+__
Writings on the wall.+ Please.+ Why.+__
Oh no, don't tell me these are creepy letters-+_
On the wall.+ I'm so sick.+__</t>
  </si>
  <si>
    <t>read
inscription</t>
  </si>
  <si>
    <t>"THEY FED ME MY OWN SELF"
I...+ Really don't want to discover what happened on this island.+__
...+__
I'm almost surprised that wasn't written in blood. Although blue blood might be a thing on this island.+__ 
I dont know, I'm not a-+ blood+ ...scientist.+__</t>
  </si>
  <si>
    <t xml:space="preserve">It really feels like some edgy shit a fourteen years old would write.+__
...+__
But I'm still shaken up despite how ridiculous that is...+__
Like...+ Someone wrote that in some place in the middle of the ocean.+__
I'm not gonna mess with a fourteen year old, not matter how angsty, who's ready to cross the ocean for a joke.+__
</t>
  </si>
  <si>
    <r>
      <rPr>
        <sz val="10"/>
        <color rgb="FF000000"/>
        <rFont val="Calibri"/>
      </rPr>
      <t xml:space="preserve">I dunno. Maybe your friend did it.
</t>
    </r>
    <r>
      <rPr>
        <sz val="10"/>
        <color rgb="FF00B050"/>
        <rFont val="Calibri"/>
      </rPr>
      <t xml:space="preserve">#%I diDn't=#  </t>
    </r>
    <r>
      <rPr>
        <sz val="10"/>
        <color rgb="FF000000"/>
        <rFont val="Calibri"/>
      </rPr>
      <t xml:space="preserve">*static* </t>
    </r>
    <r>
      <rPr>
        <sz val="10"/>
        <color rgb="FF00B050"/>
        <rFont val="Calibri"/>
      </rPr>
      <t xml:space="preserve">#%onE Of thE   +-Ures=# +__
</t>
    </r>
  </si>
  <si>
    <t>move</t>
  </si>
  <si>
    <t>Well me neither. 
Let's just move on knowing some lunatic could jump me any minute.+__ 
No big deal.+__</t>
  </si>
  <si>
    <t>find
stairs</t>
  </si>
  <si>
    <t>So no big deal as I said.+__
...+__
Good news, I just stumbled onto what seems to be...+ fire escape stairs?+__
I'm positive these lead inside the building.+__
Chance might be on our side. And I'm not unhappy with doing a bit of exercise.+__</t>
  </si>
  <si>
    <t>up</t>
  </si>
  <si>
    <t>I'm cl-+ Oh-+__
Hold on a minute will you... I'm not a-+ stair climbing+ ...Athlete. +__ I'm...+ getting there...+__
Huff...Huff...
.+.+.+__
Guess what.+__</t>
  </si>
  <si>
    <t>locked
door</t>
  </si>
  <si>
    <t xml:space="preserve">Remember when I talked about luck being on my side?+ Shouldn't have said that.+__
It's fricking closed. By a 3-digit pad, which isn't high protection by any means__
but I'd rather go back to the entrance than spend my time here.+__
</t>
  </si>
  <si>
    <t>getty
outy</t>
  </si>
  <si>
    <t>...+__
Y'know what, that was a joke.+ I ain't coming back down again.+__
There's a window on the door, might as well check if it's even worth it.+__
It's...+ Messy...+ Some sort of office.+ I can see a wrench on the ground, and a door probably leading to the inside of the factory.+__
We gotta get that door open.+ That wrench looks sick.+__</t>
  </si>
  <si>
    <t>peek at office in</t>
  </si>
  <si>
    <t>If there's a clue anywhere, it'd be inside.+__
Good thing the door has a window,+ worse case scenario I might just smash it and slither in like a...+ tapeworm.+__
The place looks like it was left in a hurry a dozen of year ago. +__
Someone even smeared their coffee on the carpet.+__
And what's that?+__
A random wrench laying on the ground?+ Now that's a motivator, I might have to bash some unfriendly's creature skull.+__</t>
  </si>
  <si>
    <t>left</t>
  </si>
  <si>
    <t xml:space="preserve">Huuuh... There's a cork board with a bunch of blank pieces of paper pinned onto it...+__ 
And a literal passcode note. 7734.+__
Which is 4 digits so it's useless, are you kidding me.+__
</t>
  </si>
  <si>
    <t>right2</t>
  </si>
  <si>
    <t>The only thing on the right wall is a big mirror with...+__
An upside-down calculator taped onto it.+__
You know, the old ones we had back in school, those ones with the segmented digits.+__
Nostalgic, but not helping me that much.+__</t>
  </si>
  <si>
    <t>right</t>
  </si>
  <si>
    <t>On the right?+ There's a mirror on the wall, and it has...
An upside-down calculator taped onto it.+__
Old school ones, with segmented digit displays.+__
It's cool that it brings memories, but it's so useless right now.+__</t>
  </si>
  <si>
    <t>left2</t>
  </si>
  <si>
    <t xml:space="preserve">There's a cork board covered in blank papers.+__
Oh yeah, also the passcode.+ 7734.+__
Hold it! The lockpad is 3 digits so it won't fit! *demented laugh* +__
</t>
  </si>
  <si>
    <t>try</t>
  </si>
  <si>
    <t>Sure. First digit?</t>
  </si>
  <si>
    <t>good1</t>
  </si>
  <si>
    <t>Then?</t>
  </si>
  <si>
    <t>bad1</t>
  </si>
  <si>
    <t>good2</t>
  </si>
  <si>
    <t>Click. Then?</t>
  </si>
  <si>
    <t>bad2</t>
  </si>
  <si>
    <t>open</t>
  </si>
  <si>
    <t>And we got it open. + 666. What kind of protection is that?+__
How'd you figure that out?+__</t>
  </si>
  <si>
    <t>bad3</t>
  </si>
  <si>
    <r>
      <rPr>
        <sz val="10"/>
        <color rgb="FF000000"/>
        <rFont val="Calibri"/>
      </rPr>
      <t xml:space="preserve">Nope. Not opening.
</t>
    </r>
    <r>
      <rPr>
        <sz val="10"/>
        <color rgb="FF00B050"/>
        <rFont val="Calibri"/>
      </rPr>
      <t xml:space="preserve">#%Nev+ fliPped a calcuLa+toR bEFore?= #+__
</t>
    </r>
    <r>
      <rPr>
        <sz val="10"/>
        <color rgb="FF000000"/>
        <rFont val="Calibri"/>
      </rPr>
      <t>7734, upside-down calculator, can you work something out with this?.+__</t>
    </r>
  </si>
  <si>
    <t>5318008
(funny)</t>
  </si>
  <si>
    <t>Oh yes!+ I remember that!+__
Never thought something that stupid could come in handy in a life or death situation.+__
Well of course I did but come on!+__
That's just so ridiculous, the person who designed this puzzle has to be a moron.+__</t>
  </si>
  <si>
    <t>friend
(+trust)</t>
  </si>
  <si>
    <t xml:space="preserve">Wow, well guess they're not so bad, everything's good in the best of worlds!+__
Sorry, I'm being way too sarcastic, thank them.+ But also ask them how they knew the passcode.+__
</t>
  </si>
  <si>
    <t>douche
(-trust)</t>
  </si>
  <si>
    <t>Wow, no need to be rude about it-+__
I'm more focused on survival than some stupid calculator cypher.+__</t>
  </si>
  <si>
    <t>get into
office</t>
  </si>
  <si>
    <t>GOOD!+ Let's not waste anymore time!+__
We're finally in after all!+ Maybe going through the main entrance would have been faster, but at least I got to breathe fresh air.+__
*THUD*+__
Oh, yes.+__ I also get to pick that beautiful wrench.+__</t>
  </si>
  <si>
    <t>baby</t>
  </si>
  <si>
    <t>B-+ BAHAHAHA-+__
Who do you take me for? I'm not a toddler, I can tighten bolts!__
My kidnapper might just come and catch these hands right now.+__
With this bad boy with me, I ain't loosing to no monster.+__
...+__</t>
  </si>
  <si>
    <t>pick up wrench</t>
  </si>
  <si>
    <t>Absolutely!+ __
...+__
... I don't know how to put it but it seems...+ advanced.+__
This ain't ordinary wrench. It's heavier and equiped with some kind of display.+__
...+__
I might take it home.+__</t>
  </si>
  <si>
    <t>Go</t>
  </si>
  <si>
    <t>I'm only stealing my freedom back after all.+__
The other door is locked, and the latch seems to be stuck.+ +__
*Hammering sounds*+__
But that's a puzzle for another day, I've got places to be.+__
...+__ 
That thing packs a severe punch, I got it opened in a few hits.+__
*door creaks*+__</t>
  </si>
  <si>
    <t>Find
tubes</t>
  </si>
  <si>
    <t>It is w-+ way colder in here than outside.__
*voice echoes*+__
This place is huge.+ I'm in a hallway so long I can't see the other side.
It really feels like I'm standing in front of a void, with only the echo of my voice proving me there's something that way.+__
And these big tubes...+ This place isn't for making shoes, that's for sure.+__</t>
  </si>
  <si>
    <t>dialog
1-1</t>
  </si>
  <si>
    <r>
      <rPr>
        <sz val="10"/>
        <color rgb="FF000000"/>
        <rFont val="Calibri"/>
        <scheme val="minor"/>
      </rPr>
      <t xml:space="preserve">About my size.+ They're all connected to a dense net of wires on the ground.+ Almost makes it hard to navigate.+__
Also smells quite odd.+ It's both off-putting...+ And weirdly conforting...+__
</t>
    </r>
    <r>
      <rPr>
        <sz val="10"/>
        <color rgb="FF00B050"/>
        <rFont val="Calibri"/>
        <scheme val="minor"/>
      </rPr>
      <t>#%He's pLaying wi  yoU. WhY+ briNG=#</t>
    </r>
    <r>
      <rPr>
        <sz val="10"/>
        <color rgb="FF000000"/>
        <rFont val="Calibri"/>
        <scheme val="minor"/>
      </rPr>
      <t xml:space="preserve"> +*static*+</t>
    </r>
    <r>
      <rPr>
        <sz val="10"/>
        <color rgb="FF00B050"/>
        <rFont val="Calibri"/>
        <scheme val="minor"/>
      </rPr>
      <t xml:space="preserve"> #%Up?= #+__</t>
    </r>
  </si>
  <si>
    <t>dialog
1-2</t>
  </si>
  <si>
    <r>
      <rPr>
        <sz val="10"/>
        <color rgb="FF000000"/>
        <rFont val="Calibri"/>
        <scheme val="minor"/>
      </rPr>
      <t xml:space="preserve">...+ Hundreds?+__
Hard to tell, it goes way past what I'm physically able to see or even reach.+__
It's an... +...+ overwhelming view...+ This looks like a scene from a Science-fiction movie.+__
</t>
    </r>
    <r>
      <rPr>
        <sz val="10"/>
        <color rgb="FF00B050"/>
        <rFont val="Calibri"/>
        <scheme val="minor"/>
      </rPr>
      <t>#%DoN't LeT It BreAk yoU=#</t>
    </r>
  </si>
  <si>
    <t>dialog
2-1</t>
  </si>
  <si>
    <r>
      <rPr>
        <sz val="10"/>
        <color rgb="FF000000"/>
        <rFont val="Calibri"/>
        <scheme val="minor"/>
      </rPr>
      <t xml:space="preserve">What's that about a per...+ Oh,+ they came back.+__
#*static*#+__
</t>
    </r>
    <r>
      <rPr>
        <sz val="10"/>
        <color rgb="FF00B050"/>
        <rFont val="Calibri"/>
        <scheme val="minor"/>
      </rPr>
      <t>#%These are old v ts.=</t>
    </r>
    <r>
      <rPr>
        <sz val="10"/>
        <color rgb="FF000000"/>
        <rFont val="Calibri"/>
        <scheme val="minor"/>
      </rPr>
      <t xml:space="preserve"> +#*static*#+</t>
    </r>
    <r>
      <rPr>
        <sz val="10"/>
        <color rgb="FF00B050"/>
        <rFont val="Calibri"/>
        <scheme val="minor"/>
      </rPr>
      <t xml:space="preserve"> %famiILar+ placE for all   us. Grown and fed= </t>
    </r>
    <r>
      <rPr>
        <sz val="10"/>
        <color rgb="FF000000"/>
        <rFont val="Calibri"/>
        <scheme val="minor"/>
      </rPr>
      <t>+#*static*#+</t>
    </r>
    <r>
      <rPr>
        <sz val="10"/>
        <color rgb="FF00B050"/>
        <rFont val="Calibri"/>
        <scheme val="minor"/>
      </rPr>
      <t xml:space="preserve"> %those. New ONes in museUm.=#</t>
    </r>
  </si>
  <si>
    <t>dialog
2-2</t>
  </si>
  <si>
    <r>
      <rPr>
        <sz val="10"/>
        <color rgb="FF000000"/>
        <rFont val="Calibri"/>
        <scheme val="minor"/>
      </rPr>
      <t xml:space="preserve">No...+ There's something deeply upsetting about this place...+__
Everything about it feels like...+ entrails.+ __
I feel...+ __
At home+__
</t>
    </r>
    <r>
      <rPr>
        <sz val="10"/>
        <color rgb="FF00B050"/>
        <rFont val="Calibri"/>
        <scheme val="minor"/>
      </rPr>
      <t>#%I kNoW th T+ feEling. And He knoWs what hE's dOing.= #</t>
    </r>
  </si>
  <si>
    <t>dialog
3-1</t>
  </si>
  <si>
    <r>
      <rPr>
        <sz val="10"/>
        <color rgb="FF000000"/>
        <rFont val="Calibri"/>
        <scheme val="minor"/>
      </rPr>
      <t xml:space="preserve">Maybe-+ That's what they're for?+__
Growing food?+__
 I-I'm starving.+__
</t>
    </r>
    <r>
      <rPr>
        <sz val="10"/>
        <color rgb="FF00B050"/>
        <rFont val="Calibri"/>
        <scheme val="minor"/>
      </rPr>
      <t>#%YOu've had enOugh of that alrEAdy. Tell thEM to come down, th re is cANned food HEre.= #</t>
    </r>
  </si>
  <si>
    <t>dialog
3-2</t>
  </si>
  <si>
    <r>
      <rPr>
        <sz val="10"/>
        <color rgb="FF00B050"/>
        <rFont val="Calibri"/>
        <scheme val="minor"/>
      </rPr>
      <t xml:space="preserve">#%All of our lives, we lived there witHout knowing. Same m  ories, same=# </t>
    </r>
    <r>
      <rPr>
        <sz val="10"/>
        <color rgb="FF000000"/>
        <rFont val="Calibri"/>
        <scheme val="minor"/>
      </rPr>
      <t xml:space="preserve">+*static*+__
</t>
    </r>
    <r>
      <rPr>
        <sz val="10"/>
        <color rgb="FF00B050"/>
        <rFont val="Calibri"/>
        <scheme val="minor"/>
      </rPr>
      <t xml:space="preserve"> #%but some m  age to fiGHt it long r than oThers. I'm onE of them. = #+__
</t>
    </r>
    <r>
      <rPr>
        <sz val="10"/>
        <color rgb="FF000000"/>
        <rFont val="Calibri"/>
        <scheme val="minor"/>
      </rPr>
      <t xml:space="preserve">... Are you still there?+__
</t>
    </r>
    <r>
      <rPr>
        <sz val="10"/>
        <color rgb="FF00B050"/>
        <rFont val="Calibri"/>
        <scheme val="minor"/>
      </rPr>
      <t xml:space="preserve">
#%There's foOd in the damP area, the Factory used to pr duce it as wEll.=#+__</t>
    </r>
  </si>
  <si>
    <t>go</t>
  </si>
  <si>
    <t>I don't know how trustworthy this person is, but this place is making me so sick I won't stay for a second more.+__ 
So I'll just do the next best thing .+__</t>
  </si>
  <si>
    <r>
      <rPr>
        <sz val="10"/>
        <color rgb="FF000000"/>
        <rFont val="Calibri"/>
        <scheme val="minor"/>
      </rPr>
      <t xml:space="preserve">Down the vent system. I just need to get it open.+__
...+__
What?+ You didn't expect me to try something while you're listening to their ramblings?+__
If there's food I can eat I need to go down.+__
</t>
    </r>
    <r>
      <rPr>
        <sz val="10"/>
        <color rgb="FF00B050"/>
        <rFont val="Calibri"/>
        <scheme val="minor"/>
      </rPr>
      <t xml:space="preserve">#%Good call. This room seems secluded from the rest of the building.  =__%The vent sytem might be the only way down.=#+__
</t>
    </r>
    <r>
      <rPr>
        <sz val="10"/>
        <color rgb="FF000000"/>
        <rFont val="Calibri"/>
        <scheme val="minor"/>
      </rPr>
      <t xml:space="preserve">
</t>
    </r>
  </si>
  <si>
    <t>Absolutely.+__ 
You know how nothing works like it's supposed to on this island?+__
The grid istelf is its own uncomprenhensible enigma.+__ 
In fact, it isn't a grid.+__
More like a lid with a big bolt.+__</t>
  </si>
  <si>
    <r>
      <rPr>
        <sz val="10"/>
        <color rgb="FF000000"/>
        <rFont val="Calibri"/>
        <scheme val="minor"/>
      </rPr>
      <t xml:space="preserve">
</t>
    </r>
    <r>
      <rPr>
        <sz val="10"/>
        <color rgb="FF00B050"/>
        <rFont val="Calibri"/>
        <scheme val="minor"/>
      </rPr>
      <t xml:space="preserve">
</t>
    </r>
  </si>
  <si>
    <t>Clicked-+ WAAH-__
*CLANG*+__
...+__
The uncomprehensible enigma came off and almost crushed my foot.+__
Let's see what's in there...+ It's... +Been cleaned recently?+__
So much for an abandoned building,+ the metal's almost glistening.+__</t>
  </si>
  <si>
    <t xml:space="preserve">...+__
Wow, impressive.+__
I should kiss your feet even, you're the king of puzzles.+__
</t>
  </si>
  <si>
    <t>Should I be surprised?+__
You've been quite effective thus far!+__
I'm being sarcastic a lot of the time but I actually really appreciate you sticking with me.+__
Even though you're painfully oblivious to my level of intelligence.+__</t>
  </si>
  <si>
    <t>Anyways, I'm getting into the...+hnng-+ ...vent.+__
I've got some crawling to do.+__
...+__
The odor's already fading, I can feel my chest getting lighter.+__
Despite it being squished between four steel walls.+__</t>
  </si>
  <si>
    <t>positive</t>
  </si>
  <si>
    <t>For what being forced to crawl through a vent by a faceless sadist could have been+, kind of.+__
...+__
I can hear air flowing through another vent nearby.+__ So there is functionnal ventilation on this island, huh. +__
Might have been more effective if that one wasn't converted into a parkour tunnel for me to enjoy.+__</t>
  </si>
  <si>
    <t>press</t>
  </si>
  <si>
    <t>I'm sure you can wait for a bit longer.+__
I'm not a-+ vent crawling+ ...expert.+__
...+__
I hear clicking and clanking all around, machinery doing its thing.+__
I thought this island was abandoned, but it's becoming more and more evident at least someone lives there.+__</t>
  </si>
  <si>
    <t>impact</t>
  </si>
  <si>
    <t>*Loud impact*+__</t>
  </si>
  <si>
    <r>
      <rPr>
        <sz val="10"/>
        <color rgb="FF000000"/>
        <rFont val="Calibri"/>
        <scheme val="minor"/>
      </rPr>
      <t xml:space="preserve">...+__
That wasn't me.+__
...+__
But I can't go back now.+__
</t>
    </r>
    <r>
      <rPr>
        <sz val="10"/>
        <color rgb="FF00B050"/>
        <rFont val="Calibri"/>
        <scheme val="minor"/>
      </rPr>
      <t xml:space="preserve">#%Oh no.=#+__
</t>
    </r>
  </si>
  <si>
    <r>
      <rPr>
        <sz val="10"/>
        <color rgb="FF000000"/>
        <rFont val="Calibri"/>
        <scheme val="minor"/>
      </rPr>
      <t xml:space="preserve">I- I had no other option though?+ What was I supposed to-+__
There's a grid right there.+__
But it's too dark to know where it leads.+__
</t>
    </r>
    <r>
      <rPr>
        <sz val="10"/>
        <color rgb="FF00B050"/>
        <rFont val="Calibri"/>
        <scheme val="minor"/>
      </rPr>
      <t xml:space="preserve">#%Get out now.=#+__
</t>
    </r>
    <r>
      <rPr>
        <sz val="10"/>
        <color rgb="FF000000"/>
        <rFont val="Calibri"/>
        <scheme val="minor"/>
      </rPr>
      <t xml:space="preserve">
</t>
    </r>
  </si>
  <si>
    <r>
      <rPr>
        <sz val="10"/>
        <color rgb="FF000000"/>
        <rFont val="Calibri"/>
        <scheme val="minor"/>
      </rPr>
      <t xml:space="preserve">I know!+__
I-+ Need to get to the down area.+__
</t>
    </r>
    <r>
      <rPr>
        <sz val="10"/>
        <color rgb="FF00B050"/>
        <rFont val="Calibri"/>
        <scheme val="minor"/>
      </rPr>
      <t xml:space="preserve">#%They've negLecTed to tell you they found an exit, I can seE it FrOM a CamerA.=+__
%The fall might be roUgh, but it's wOrth not fighTing them.=#+__
</t>
    </r>
    <r>
      <rPr>
        <sz val="10"/>
        <color rgb="FF000000"/>
        <rFont val="Calibri"/>
        <scheme val="minor"/>
      </rPr>
      <t xml:space="preserve">
</t>
    </r>
  </si>
  <si>
    <t>I'm not just going to jump into the void! I don't what caused this noise, but I can tell it's not +-inside-+ the vent from the height it had to fall from.+__
I should keep going forward and find a way down.+__</t>
  </si>
  <si>
    <t>*metallic noises*+__
There's a crossing with another vent.+__
No...+__ A labyrinth...+__</t>
  </si>
  <si>
    <t>I think I just kind of...+ get the logic there.+__
I'll just do my thing.+__
Left...+__
Right...+__
Forward...+__
...+__</t>
  </si>
  <si>
    <t>I see light down there!+__
*heavy metallic noises*+__
Oh, no...+ It followed me.+ Probably on top of the vent, just above me.+__
I can't get out, it'd just catch me out ther-+__
*Running on metal*
IT'S GETTING IN THE VENT!+__
*Screesh*+__</t>
  </si>
  <si>
    <t>YES (3s)</t>
  </si>
  <si>
    <r>
      <rPr>
        <sz val="10"/>
        <color rgb="FF000000"/>
        <rFont val="Calibri"/>
        <scheme val="minor"/>
      </rPr>
      <t xml:space="preserve">COME ON...+ I NEED TO...+__
TURN AROUND...+__
</t>
    </r>
    <r>
      <rPr>
        <sz val="10"/>
        <color rgb="FF00B050"/>
        <rFont val="Calibri"/>
        <scheme val="minor"/>
      </rPr>
      <t xml:space="preserve">#%Did you memOrize the way to the gRid we first sAw?, well just tell hoW to get bAck to it!=#+__
</t>
    </r>
    <r>
      <rPr>
        <sz val="10"/>
        <color rgb="FF000000"/>
        <rFont val="Calibri"/>
        <scheme val="minor"/>
      </rPr>
      <t xml:space="preserve">
*heavy metalic noises*
WHERE DID I COME FROM? PLEASE, ARE YOU STILL THERE?+__</t>
    </r>
  </si>
  <si>
    <t>Hnng...+__
*Heavy metallic noises*+__
Fu- THEN?+__</t>
  </si>
  <si>
    <t xml:space="preserve">I START TO RECOGNIZE!
*Heavy metallic sounds*
</t>
  </si>
  <si>
    <t>YES (2s)</t>
  </si>
  <si>
    <t>ALRIGHT, I SEE THE-
*Heavy metallic sounds*
*static*
.+.+.+
--SIGNAL LOST--</t>
  </si>
  <si>
    <t>I SEE THE GRID!+__
COME OFF, YOU PIECE OF SHIT!+__
*Bolt squeaks*+__
COME O-+ AAAAH-__
*Splashes*+__</t>
  </si>
  <si>
    <t>escape</t>
  </si>
  <si>
    <r>
      <rPr>
        <sz val="10"/>
        <color rgb="FF000000"/>
        <rFont val="Calibri"/>
        <scheme val="minor"/>
      </rPr>
      <t xml:space="preserve">IT'S COMING!+__
*Heavy metalic sounds*+__
.+.+.+__
It-+ It missed the opening I fell down from-+__
I- I think I'm safe.+__
</t>
    </r>
    <r>
      <rPr>
        <sz val="10"/>
        <color rgb="FF00B050"/>
        <rFont val="Calibri"/>
        <scheme val="minor"/>
      </rPr>
      <t>#%Thank god.=#+__</t>
    </r>
  </si>
  <si>
    <t>rude</t>
  </si>
  <si>
    <t>I wasn't just gonna face that thing off in a vent, are you stupid?+__
How would I even swing it?+__</t>
  </si>
  <si>
    <t>fix</t>
  </si>
  <si>
    <t>Oh, I took that as irony...+__
Thank you for your help, I wouldn't have made it out without you.+__
...+__
I-+ I'm in a storage room.+ The person advising you didn't lie.+__
The shelves are laid with cans.+__
I'm drenched however, as the area is flooded.+__
I really wouldn't count on the taste of the mush inside.+__
Ew+__</t>
  </si>
  <si>
    <t>fuck</t>
  </si>
  <si>
    <t>Fuck you! I feared for my life, and breaking all of my bones falling from that vent was as scary as the thing chasing me!+__
...+__
I'm lucky this area is flooded, the water kind of softened the fall.+__
...+__
Your friend didn't lie though, there's food everywhere here.+__ 
Half of it is as drenched as I am, so I can't imagine the taste,+ but that'll have to do.+__</t>
  </si>
  <si>
    <t>nice
trust+</t>
  </si>
  <si>
    <t>I'm glad you're too.+__
...+__
Well, I know there's no reason for you to be in any kind of danger right now.+__
But I really am glad you are, that's all.+__
...+__
Besides that, you were right about that place. It's filled to the brim with food cans+__
This is like a storage room for Spam-looking, dank mush.+__</t>
  </si>
  <si>
    <t>nice
trust-</t>
  </si>
  <si>
    <t>Thanks.+ You saved my life.+__
...+__
There's so much water down there.+__ Positively better than just hitting the concrete, but I'm worried I'll catch a cold.+__
Also, thank your friend, there's indeed loads of food there. +__
...+__
Never been a fan of damped mush, but gourmet's palate has a time and place.+__</t>
  </si>
  <si>
    <t>EAT</t>
  </si>
  <si>
    <r>
      <rPr>
        <sz val="10"/>
        <color rgb="FF000000"/>
        <rFont val="Calibri"/>
        <scheme val="minor"/>
      </rPr>
      <t xml:space="preserve">Here goes nothing-+ I'm opening one.+__
*clunk*+__
It's-+ Neutral in odor.+ Doesn't look like anything, but not repulsive either.+__
</t>
    </r>
    <r>
      <rPr>
        <sz val="10"/>
        <color rgb="FF00B050"/>
        <rFont val="Calibri"/>
        <scheme val="minor"/>
      </rPr>
      <t xml:space="preserve">#%These are quite gOod, actually. Not that there is anYthing I can eat thEre either.=#+__
</t>
    </r>
    <r>
      <rPr>
        <sz val="10"/>
        <color rgb="FF000000"/>
        <rFont val="Calibri"/>
        <scheme val="minor"/>
      </rPr>
      <t xml:space="preserve">.+.+.+__
.+.+.+__
</t>
    </r>
  </si>
  <si>
    <t xml:space="preserve">I'm not a-+ fast eating+ ...champ-__
But yes,+ I'm done, let's move.+__
*Door slamming open*+__
...+__
It looks like an underground parking.+ But entirely flooded.+__
*footsteps and splashes*+__
I have no idea what I'm stepping on, the water seems to be getting deeper and deeper as I walk.+__
</t>
  </si>
  <si>
    <t>choice</t>
  </si>
  <si>
    <r>
      <rPr>
        <sz val="10"/>
        <color rgb="FF000000"/>
        <rFont val="Calibri"/>
        <scheme val="minor"/>
      </rPr>
      <t xml:space="preserve">*footsteps and splashes*+__
</t>
    </r>
    <r>
      <rPr>
        <sz val="10"/>
        <color rgb="FF00B050"/>
        <rFont val="Calibri"/>
        <scheme val="minor"/>
      </rPr>
      <t xml:space="preserve">#%Change of plan. The room layout changed. It's time for them to come and meet me.=#+__
</t>
    </r>
    <r>
      <rPr>
        <sz val="10"/>
        <color rgb="FF000000"/>
        <rFont val="Calibri"/>
        <scheme val="minor"/>
      </rPr>
      <t xml:space="preserve">I can see an exit door!+__
</t>
    </r>
    <r>
      <rPr>
        <sz val="10"/>
        <color rgb="FF00B050"/>
        <rFont val="Calibri"/>
        <scheme val="minor"/>
      </rPr>
      <t>#%It'll lead directly to the fuse. But the trapdoor will take them back to their vat.__= %I don't want them to suffer the same fate as the others.=#+__</t>
    </r>
  </si>
  <si>
    <t>ignore</t>
  </si>
  <si>
    <r>
      <rPr>
        <sz val="10"/>
        <color rgb="FF000000"/>
        <rFont val="Calibri"/>
        <scheme val="minor"/>
      </rPr>
      <t xml:space="preserve">That's well what I'm counting on.+__
</t>
    </r>
    <r>
      <rPr>
        <sz val="10"/>
        <color rgb="FF00B050"/>
        <rFont val="Calibri"/>
        <scheme val="minor"/>
      </rPr>
      <t>#%You're condemning them.+ They still could be saved, most lose their minds before they even reach the trapdoor.=#+__</t>
    </r>
  </si>
  <si>
    <t>final
building</t>
  </si>
  <si>
    <r>
      <rPr>
        <sz val="10"/>
        <color rgb="FF00B050"/>
        <rFont val="Calibri"/>
        <scheme val="minor"/>
      </rPr>
      <t xml:space="preserve">#%Please! Listen to me,+ you're gonna get them killed!=#
</t>
    </r>
    <r>
      <rPr>
        <sz val="10"/>
        <color rgb="FF000000"/>
        <rFont val="Calibri"/>
        <scheme val="minor"/>
      </rPr>
      <t>Is it?+__
I can't wait to get out of here!+__</t>
    </r>
  </si>
  <si>
    <t>stop</t>
  </si>
  <si>
    <r>
      <rPr>
        <sz val="10"/>
        <color rgb="FF000000"/>
        <rFont val="Calibri"/>
        <scheme val="minor"/>
      </rPr>
      <t xml:space="preserve">What. I just found the exit.+__
</t>
    </r>
    <r>
      <rPr>
        <sz val="10"/>
        <color rgb="FF00B050"/>
        <rFont val="Calibri"/>
        <scheme val="minor"/>
      </rPr>
      <t xml:space="preserve">#%The control room is right next to that room. Don't go to the next building. =#+__
#%They need to go where the water is the deepest. There, they'll find a hole in the wall.=#+__
</t>
    </r>
    <r>
      <rPr>
        <sz val="10"/>
        <color rgb="FF000000"/>
        <rFont val="Calibri"/>
        <scheme val="minor"/>
      </rPr>
      <t>What's happening?+__</t>
    </r>
  </si>
  <si>
    <t>fuse</t>
  </si>
  <si>
    <r>
      <rPr>
        <sz val="10"/>
        <color rgb="FF000000"/>
        <rFont val="Calibri"/>
        <scheme val="minor"/>
      </rPr>
      <t xml:space="preserve">Is the fuse there?+__
What are you on about?+__
I got all the way from the trapdoor just to find that fuse,__
why would you say that now that I'm about to find it?+__
I'm gonna need some better explanations!+__
</t>
    </r>
    <r>
      <rPr>
        <sz val="10"/>
        <color rgb="FF00B050"/>
        <rFont val="Calibri"/>
        <scheme val="minor"/>
      </rPr>
      <t>#%I want to tell them the truth.=#+__</t>
    </r>
  </si>
  <si>
    <t>thing</t>
  </si>
  <si>
    <r>
      <rPr>
        <sz val="10"/>
        <color rgb="FF000000"/>
        <rFont val="Calibri"/>
        <scheme val="minor"/>
      </rPr>
      <t xml:space="preserve">I- I could probably defend myself, I still have the wrench!+__
If there's any chance of the fuse being there, I gotta go!+__
</t>
    </r>
    <r>
      <rPr>
        <sz val="10"/>
        <color rgb="FF00B050"/>
        <rFont val="Calibri"/>
        <scheme val="minor"/>
      </rPr>
      <t>#%I know this one.=+__
%They were strong, but the disease ended up taking them as well. =#+__
#%There is no chance fighting it, they're armed and quick, it's a miracle they didn't catch you in the vent.=#+__</t>
    </r>
  </si>
  <si>
    <t>water</t>
  </si>
  <si>
    <r>
      <rPr>
        <sz val="10"/>
        <color rgb="FF000000"/>
        <rFont val="Calibri"/>
        <scheme val="minor"/>
      </rPr>
      <t xml:space="preserve">Wha-+ What?+__
Why would I do that?+ You're freaking me off!+__
Why wouldn't I just go?+ I might find the fuse!+__
</t>
    </r>
    <r>
      <rPr>
        <sz val="10"/>
        <color rgb="FF00B050"/>
        <rFont val="Calibri"/>
        <scheme val="minor"/>
      </rPr>
      <t>#%The fuse is the last piece of the puzzle the scientist created.=+__
%You don't need it to escape, the game isn't about that.=+__
%It's about keeping the loop going.=#+__</t>
    </r>
  </si>
  <si>
    <t>check</t>
  </si>
  <si>
    <t>I- I just...</t>
  </si>
  <si>
    <t>good ending 1</t>
  </si>
  <si>
    <t>I-I’ll do what you tell.+ You’ve been of great help up until there.+ Just tell me where to go, I’ll go.+__
%#They… Thank you. + Maybe we can end this cycle of madness.#=+__
%#Tell them there’s a way to join me.#=+__
%#They must be quick, the rooms switch location quite frequently.#=+__</t>
  </si>
  <si>
    <t>They seem to have.+__
If the fuse isn’t gonna get me out of there, I might as well trust them.+__
What should I do now ?+__</t>
  </si>
  <si>
    <t>Th- this is so scary.+ But I want to know the truth.+__
%#Luckily, the cave connects this room to my place’s water system. I’ll lift the grid and get them inside.#=+__
%#Tell them not to panic, it’s a matter of seconds.#=+__
%#They need to swim forward until they find a big metal pipe, then reach upwards to find the opening.#=+__</t>
  </si>
  <si>
    <t>How will I be able to tell where I am ?+__</t>
  </si>
  <si>
    <t>%#It’s plastic.#=+__</t>
  </si>
  <si>
    <t>Okay, let me take some clothes off first,+ I’ll leave this wrench here too.+__
I’m not hyped about death by drowning in a sewage pipe.+__
%#No worries. I got spare clothes. Tell them to hurry up, being ripped in half when rooms move again isn’t glamour either.#=+__</t>
  </si>
  <si>
    <t>I’ll- Okay, I’m commited to this now.+__
Here goes nothing.+__
*Splash*+__</t>
  </si>
  <si>
    <t>…+__
…+__
…+__
*static noises*+__
aaaAAH-+ aah…+ aah…+__
%Take my hand!=+__</t>
  </si>
  <si>
    <t>You-+ Your face!+__
%I should’ve warned you before.+ It’s hard to explain that so… directly.+ Most of us figure it out much earlier.=+__
Am I…+ Dumber than the-+ …others?+__
%No, you’re healthier.+ That ‘thing’ was…+ One of us.+ Like all of us.=+__
%Injected with the disease, grown in an artificial womb in a few weeks,=+__
%while we lived all of their life without realising we weren’t even there.=+__
Are you… talking about the thing’s life?+ &amp;No. I’m talking about the person you called.=+__</t>
  </si>
  <si>
    <t>%You.=+__
What-+ What do you mean?+ What have you done to me?+ Why am I here?+__</t>
  </si>
  <si>
    <t>%Calm down, both of you.+ Neither of you is to blame.=+__
Who am I ?+ What do you mean, grown ?+__
%You are the successful prototype.+ The one he’s been waiting for.=+__
%The scientist, as I call him.+ He’s the one behind our suffering.=+__
So, are we…+ Clones of you ?+__</t>
  </si>
  <si>
    <t>%It doesn’t matter anymore.+ Now that we are both together, we have to execute the plan I’ve been ploting.=+__
Wait!+ What do you mean by plan?+__
%Don’t you want to stop all of this?+ If we just escape, he’ll just create more of us. We have to stop this.=+__
I...+ That’s true.+ I don’t want other people to go through what we’ve been,+ no matter if they’re clones or not.+__</t>
  </si>
  <si>
    <t>%I know that this island is designed to self-destruct in case there is a virus breach.=+__
W-Wait what?+__
%Don’t worry, I’ve planned everything so that we get out unharmed. There is just one more thing to do...=+__</t>
  </si>
  <si>
    <t>%This phone.+ He can use it as a tracker.+ You have to throw it away.=+__</t>
  </si>
  <si>
    <t>%You won’t know.+ But I can assure you that I didn’t lived hidden for months on this abandonned island for this plan to fail.=+__
Are you sure he’ll track us with it?+ I mean...+ It could be useful to have the original communicate with us and-__
%We can’t.+ I can’t even clearly identify if you’re part of all of this or not even if we have the same memories.=+__</t>
  </si>
  <si>
    <t>%We’re running out of time.+ THROW THIS PHONE AWAY!=+__
O-Okay!+ *THUMB*+__
%Sorry again, but we have to stop this.=+ I-I hope to see you again!+__
%Now, the plan starts by getting to the lab unseen and... *fading away*=+__
...+__</t>
  </si>
  <si>
    <t>...+__
--SIGNAL LOST--+__
&amp;{THEY’LL HOPEFULLY STOP THE CYCLE. BUT WHY DID THE CYCLE BEGIN?}=+__
CLONE TEAM UP ENDING+__</t>
  </si>
  <si>
    <t>refuses</t>
  </si>
  <si>
    <t>I'm just not gonna go anywhere else in this godamn factory!+__
The exit's just there!+__
I don't care about anything else! + Fuck whoever is trying to persuade you to lead me in a trap!+__
I.+ Just.+ Want.+ To.+ Leave.+
*footsteps*</t>
  </si>
  <si>
    <t>neutral or
bad</t>
  </si>
  <si>
    <r>
      <rPr>
        <sz val="10"/>
        <color rgb="FF000000"/>
        <rFont val="Calibri"/>
        <scheme val="minor"/>
      </rPr>
      <t xml:space="preserve">*footsteps*+__
The light is almost blinding in there. I can't see shit.+__
Though it's good to think I could get out in case things go sour.+__
...+__
</t>
    </r>
    <r>
      <rPr>
        <sz val="10"/>
        <color rgb="FF00B050"/>
        <rFont val="Calibri"/>
        <scheme val="minor"/>
      </rPr>
      <t>%#This is bad. Can't they see the person above?=#+__</t>
    </r>
  </si>
  <si>
    <r>
      <rPr>
        <sz val="10"/>
        <color rgb="FF000000"/>
        <rFont val="Calibri"/>
        <scheme val="minor"/>
      </rPr>
      <t xml:space="preserve">Wah-+OH SH...+__
*whisper* T-There's...+ It’s the thing that chased me in the vent...+__
It's o-on the catwalks...+__
...+Wait is that the...+__
</t>
    </r>
    <r>
      <rPr>
        <sz val="10"/>
        <color rgb="FF00B050"/>
        <rFont val="Calibri"/>
        <scheme val="minor"/>
      </rPr>
      <t>%#Don't do anything stupid, I'm gonna distract them.=#</t>
    </r>
  </si>
  <si>
    <t>Wait...+ I think I can do it on my own...+__
...I just have to be...+__
*DISTORDED SCREAMING* SHIT IT SAW ME!+__
*fast footsteps*+__
FUCK FUCK FUCK!+ ITS FACE, ITS DISFORMED, IT'S A FUCKING MONSTER!+__</t>
  </si>
  <si>
    <t>WAIT!+ THE FUSE!+__
I CAN'T LEAVE IT THERE!+__</t>
  </si>
  <si>
    <t>I'M SURE I CAN DO IT!+__
I JUST HAVE TO *SCREEESH* RAAAAGH!+__
I-I'm bleeding...+ It scratch my whole arm!...+__
Please...+ Dont hurt me...+__
*DISTORDED SCREAMING*+__
AAAAAAAAAAAAAAAAA-*fleshy noises*+__</t>
  </si>
  <si>
    <t>...+__
%#I'll wait for the next one.#=+__
...+__
--SIGNAL LOST--+__
&amp;{IT WAS NOURISHED WITH FLESH, AND IT FIND SOME.}=+__
RIPPED BY THE INFECTED ENDING+__</t>
  </si>
  <si>
    <t>SIGNAL
LOST GAME</t>
  </si>
  <si>
    <t>You...+ MONSTER!+__
Why am I keeping this phone you've obviously left there to torture me?+__
I WON'T KEEP PLAYING YOUR GAMES!+__
#*biiiiiiiiip*+__
.+.+.+__
--SIGNAL LOST--</t>
  </si>
  <si>
    <t>Fence
electricity1</t>
  </si>
  <si>
    <t>Just have to... 
*grunt*+__
*running footsteps*+__
...+__
OUCH!+__</t>
  </si>
  <si>
    <t>Fence
electricity2</t>
  </si>
  <si>
    <t>YOU KNEW?+__
Of course it's electrified, why'd you do that?!+__</t>
  </si>
  <si>
    <t>Fence
electricity3</t>
  </si>
  <si>
    <t>I still feel my muscles vibrating.+__
That is no ordinary electric fence, I really feel like it's been setup to trap me.+__
Let's just...+ Move on+__</t>
  </si>
  <si>
    <t>neutral</t>
  </si>
  <si>
    <r>
      <rPr>
        <sz val="10"/>
        <color rgb="FF000000"/>
        <rFont val="Calibri"/>
        <scheme val="minor"/>
      </rPr>
      <t xml:space="preserve">I just need it to get away from me!+__
Anything! I just want to be free!+__
</t>
    </r>
    <r>
      <rPr>
        <sz val="10"/>
        <color rgb="FF00B050"/>
        <rFont val="Calibri"/>
        <scheme val="minor"/>
      </rPr>
      <t xml:space="preserve">%#Once the disease's terminal, all their senses are submitted to constant and extreme stress. 
They will check any little bit of noise there is. =#
</t>
    </r>
    <r>
      <rPr>
        <sz val="10"/>
        <color rgb="FF000000"/>
        <rFont val="Calibri"/>
        <scheme val="minor"/>
      </rPr>
      <t xml:space="preserve">*Loud explosion*+__
</t>
    </r>
  </si>
  <si>
    <r>
      <rPr>
        <sz val="10"/>
        <color rgb="FF00B050"/>
        <rFont val="Calibri"/>
        <scheme val="minor"/>
      </rPr>
      <t xml:space="preserve">%#Grab the fuse and leave. =#
</t>
    </r>
    <r>
      <rPr>
        <sz val="10"/>
        <color rgb="FF000000"/>
        <rFont val="Calibri"/>
        <scheme val="minor"/>
      </rPr>
      <t>That thing's going down the stairs!+__
It's gonna...+__
...+__
It ignored me?+__</t>
    </r>
  </si>
  <si>
    <t>O-+ Okay!+__
*running sounds*+__
I GOT IT!+__
*static*+__
I'm outside, I can see the stairs I took to get in!+__
If I knew I could've just kept going and climbed through this window!+__</t>
  </si>
  <si>
    <r>
      <rPr>
        <sz val="10"/>
        <color rgb="FF000000"/>
        <rFont val="Calibri"/>
        <scheme val="minor"/>
      </rPr>
      <t xml:space="preserve">Yes!+ Of course!+__
*running sounds*+__
</t>
    </r>
    <r>
      <rPr>
        <sz val="10"/>
        <color rgb="FF00B050"/>
        <rFont val="Calibri"/>
        <scheme val="minor"/>
      </rPr>
      <t>%#All of thAt. And the onE who cOuld've stopped eVerything deCides to go baCk to their prison.=#</t>
    </r>
  </si>
  <si>
    <r>
      <rPr>
        <sz val="10"/>
        <color rgb="FF000000"/>
        <rFont val="Calibri"/>
        <scheme val="minor"/>
      </rPr>
      <t xml:space="preserve">I-+ I am!+__
I'm running towards it!+ I can even see it from here!+__
</t>
    </r>
    <r>
      <rPr>
        <sz val="10"/>
        <color rgb="FF00B050"/>
        <rFont val="Calibri"/>
        <scheme val="minor"/>
      </rPr>
      <t xml:space="preserve">%#T  re's noThIng left to do. HE will hAve w at HE's always looked for and We'll keep sUffering. TherE is no p  nt.=#
</t>
    </r>
  </si>
  <si>
    <t>*running sounds*+__
huff...+ huff.+__
That's it... I'm on it...+__
%#COME AND GET ME!+ GIVE US BOTH THE PEACE AND SATIETY WE DESERVE!#=+__+*static*#+__</t>
  </si>
  <si>
    <t>&lt;(147)1 - Put the fuse and open this trapdoor!__</t>
  </si>
  <si>
    <t>So...+ I just have to put the fuse here and...+ #*mechanical beeping* YEEES!+__</t>
  </si>
  <si>
    <t>&lt;(148)1 - It opened?__</t>
  </si>
  <si>
    <t>&lt;(148)2 - IT OPENED!__</t>
  </si>
  <si>
    <t>YES, IT'S OPENING!+__
There are stairs here.+ I'm getting down there.+__
...Oh my god...+ It was such an intens-*SHKRRRRRRRRR*+... I'm so happy that you were here to help me.+__</t>
  </si>
  <si>
    <t>&lt;(149)1 - Wait, the signal's getting weaker!__</t>
  </si>
  <si>
    <t>Do you mean th-*SHKRRRRRRRRRRR*-ction?+ Oh hell no, not after all that!...+__
But I have t-*SHKRRRRR*-eep going.+ I don't know if I'll be able to contact you agai-*SHKRRRRRRR*+__
...It was a pleasu-*SHKRRRRRRRRRRRRRRR*...+ Thank you, I'm glad to be y-*SHKRRRRRRRRRRR*...+__
Goodbye...+__</t>
  </si>
  <si>
    <t>&lt;(150)1 - I hope you'll be safe. Goodbye__</t>
  </si>
  <si>
    <t>...+__
--SIGNAL LOST--+__
&amp;{ONE LIFE SAVED, BUT WHAT ABOUT THE OTHERS?}=+__
%TRAPDOOR ENDING.=+__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</si>
</sst>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72"/>
      <color rgb="FF000000"/>
      <name val="Calibri"/>
      <family val="2"/>
      <scheme val="minor"/>
    </font>
    <font>
      <sz val="72"/>
      <color rgb="FF0070C0"/>
      <name val="Calibri"/>
      <family val="2"/>
      <scheme val="minor"/>
    </font>
    <font>
      <sz val="72"/>
      <color theme="7"/>
      <name val="Calibri"/>
      <family val="2"/>
      <scheme val="minor"/>
    </font>
    <font>
      <sz val="10"/>
      <color rgb="FF000000"/>
      <name val="Calibri"/>
    </font>
    <font>
      <sz val="10"/>
      <color rgb="FF00B050"/>
      <name val="Calibri"/>
    </font>
    <font>
      <sz val="10"/>
      <color theme="1"/>
      <name val="Calibri"/>
    </font>
    <font>
      <sz val="10"/>
      <color rgb="FF000000"/>
      <name val="Calibri"/>
      <family val="2"/>
      <scheme val="minor"/>
    </font>
    <font>
      <sz val="72"/>
      <color theme="4"/>
      <name val="Calibri"/>
      <family val="2"/>
      <scheme val="minor"/>
    </font>
    <font>
      <sz val="72"/>
      <color theme="5"/>
      <name val="Calibri"/>
      <family val="2"/>
      <scheme val="minor"/>
    </font>
    <font>
      <sz val="72"/>
      <color theme="9"/>
      <name val="Calibri"/>
      <family val="2"/>
      <scheme val="minor"/>
    </font>
    <font>
      <sz val="72"/>
      <color theme="8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B050"/>
      <name val="Calibri"/>
      <scheme val="minor"/>
    </font>
    <font>
      <sz val="10"/>
      <color theme="1"/>
      <name val="Calibri"/>
      <scheme val="minor"/>
    </font>
    <font>
      <sz val="7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  <xf numFmtId="16" fontId="8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4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showFormulas="1" tabSelected="1" topLeftCell="A5" zoomScale="85" zoomScaleNormal="85" workbookViewId="0">
      <selection activeCell="C6" sqref="C6"/>
    </sheetView>
  </sheetViews>
  <sheetFormatPr defaultColWidth="35.85546875" defaultRowHeight="168" customHeight="1"/>
  <cols>
    <col min="1" max="1" width="22.28515625" style="2" customWidth="1"/>
    <col min="2" max="2" width="19.28515625" style="8" customWidth="1"/>
    <col min="3" max="3" width="54.42578125" style="7" customWidth="1"/>
    <col min="4" max="8" width="58.7109375" style="6" customWidth="1"/>
  </cols>
  <sheetData>
    <row r="1" spans="1:10" s="5" customFormat="1" ht="24" customHeight="1">
      <c r="A1" s="3" t="s">
        <v>0</v>
      </c>
      <c r="B1" s="12" t="s">
        <v>1</v>
      </c>
      <c r="C1" s="4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4" t="s">
        <v>8</v>
      </c>
      <c r="J1" s="4" t="s">
        <v>9</v>
      </c>
    </row>
    <row r="2" spans="1:10" ht="168" customHeight="1">
      <c r="A2" s="1">
        <v>1</v>
      </c>
      <c r="B2" s="8" t="s">
        <v>10</v>
      </c>
      <c r="C2" s="6" t="s">
        <v>11</v>
      </c>
      <c r="D2" s="6" t="str">
        <f>"&lt;(" &amp; A3  &amp; ")1 - What exactly do you mean by key? ;3" &amp; "__"</f>
        <v>&lt;(2)1 - What exactly do you mean by key? ;3__</v>
      </c>
      <c r="E2" s="6" t="str">
        <f>"&lt;(" &amp; A10  &amp; ")2 - If you can? Would there be anything preventing you? ;10"  &amp; "__"</f>
        <v>&lt;(9)2 - If you can? Would there be anything preventing you? ;10__</v>
      </c>
    </row>
    <row r="3" spans="1:10" ht="168" customHeight="1">
      <c r="A3" s="14">
        <v>2</v>
      </c>
      <c r="B3" s="8" t="s">
        <v>12</v>
      </c>
      <c r="C3" s="6" t="s">
        <v>13</v>
      </c>
      <c r="D3" s="6" t="str">
        <f>"&lt;(" &amp; A9  &amp; ")1 - That's a pain of a situation for sure." &amp; "__"</f>
        <v>&lt;(8)1 - That's a pain of a situation for sure.__</v>
      </c>
    </row>
    <row r="4" spans="1:10" ht="168" customHeight="1">
      <c r="A4" s="14">
        <v>3</v>
      </c>
      <c r="B4" s="8" t="s">
        <v>14</v>
      </c>
      <c r="C4" s="6" t="s">
        <v>15</v>
      </c>
      <c r="D4" s="6" t="str">
        <f>"&lt;(" &amp; A8  &amp; ")1 - Of course. Just making sure." &amp; "__"</f>
        <v>&lt;(7)1 - Of course. Just making sure.__</v>
      </c>
      <c r="E4" s="6" t="str">
        <f>"&lt;(" &amp; A5  &amp; ")2 - Are you... alright?" &amp; "__"</f>
        <v>&lt;(4)2 - Are you... alright?__</v>
      </c>
    </row>
    <row r="5" spans="1:10" ht="168" customHeight="1">
      <c r="A5" s="14">
        <v>4</v>
      </c>
      <c r="B5" s="8" t="s">
        <v>16</v>
      </c>
      <c r="C5" s="6" t="s">
        <v>17</v>
      </c>
      <c r="D5" s="6" t="str">
        <f>"&lt;(" &amp; A8  &amp; ")1 - You're right, let's both calm down and work together." &amp; "__"</f>
        <v>&lt;(7)1 - You're right, let's both calm down and work together.__</v>
      </c>
      <c r="E5" s="6" t="str">
        <f>"&lt;(" &amp; A8  &amp; ")2 - I'm sorry, I wasn't expecting a call like that." &amp; "__"</f>
        <v>&lt;(7)2 - I'm sorry, I wasn't expecting a call like that.__</v>
      </c>
      <c r="F5" s="6" t="str">
        <f>"&lt;(" &amp; A6 &amp; ")3@ - It's my fault, I behaved like an idiot." &amp; "__"</f>
        <v>&lt;(5)3@ - It's my fault, I behaved like an idiot.__</v>
      </c>
    </row>
    <row r="6" spans="1:10" ht="168" customHeight="1">
      <c r="A6" s="14">
        <v>5</v>
      </c>
      <c r="B6" s="8" t="s">
        <v>18</v>
      </c>
      <c r="C6" s="6" t="s">
        <v>19</v>
      </c>
      <c r="D6" s="6" t="str">
        <f>"&lt;(" &amp; A7  &amp; ")1 - We're cool then!" &amp; "__"</f>
        <v>&lt;(6)1 - We're cool then!__</v>
      </c>
    </row>
    <row r="7" spans="1:10" ht="168" customHeight="1">
      <c r="A7" s="14">
        <v>6</v>
      </c>
      <c r="B7" s="8" t="s">
        <v>20</v>
      </c>
      <c r="C7" s="6" t="s">
        <v>21</v>
      </c>
      <c r="D7" s="6" t="str">
        <f>"&lt;(" &amp; A139  &amp; ")1 - Yeah, get rid of that thing." &amp; "__"</f>
        <v>&lt;(138)1 - Yeah, get rid of that thing.__</v>
      </c>
      <c r="E7" s="6" t="str">
        <f>"&lt;(" &amp; A17  &amp; ")2 - Yeah, go for a backdoor. " &amp; "__"</f>
        <v>&lt;(16)2 - Yeah, go for a backdoor. __</v>
      </c>
    </row>
    <row r="8" spans="1:10" ht="168" customHeight="1">
      <c r="A8" s="14">
        <v>7</v>
      </c>
      <c r="B8" s="8" t="s">
        <v>22</v>
      </c>
      <c r="C8" s="6" t="s">
        <v>23</v>
      </c>
      <c r="D8" s="6" t="str">
        <f>"&lt;(" &amp; A139  &amp; ")1 - Yeah, get rid of that thing." &amp; "__"</f>
        <v>&lt;(138)1 - Yeah, get rid of that thing.__</v>
      </c>
      <c r="E8" s="6" t="str">
        <f>"&lt;(" &amp; A17  &amp; ")2 - Yeah, go for a backdoor. " &amp; "__"</f>
        <v>&lt;(16)2 - Yeah, go for a backdoor. __</v>
      </c>
    </row>
    <row r="9" spans="1:10" ht="168" customHeight="1">
      <c r="A9" s="14">
        <v>8</v>
      </c>
      <c r="B9" s="8" t="s">
        <v>24</v>
      </c>
      <c r="C9" s="6" t="s">
        <v>25</v>
      </c>
      <c r="D9" s="6" t="str">
        <f>"&lt;(" &amp; A139  &amp; ")1 - Let's not waste time, try and push the fence." &amp; "__"</f>
        <v>&lt;(138)1 - Let's not waste time, try and push the fence.__</v>
      </c>
      <c r="E9" s="6" t="str">
        <f>"&lt;(" &amp; A17  &amp; ")2 - You should try to find a backdoor. " &amp; "__"</f>
        <v>&lt;(16)2 - You should try to find a backdoor. __</v>
      </c>
    </row>
    <row r="10" spans="1:10" ht="168" customHeight="1">
      <c r="A10" s="15">
        <v>9</v>
      </c>
      <c r="B10" s="9" t="s">
        <v>26</v>
      </c>
      <c r="C10" s="6" t="s">
        <v>27</v>
      </c>
      <c r="D10" s="6" t="str">
        <f>"&lt;(" &amp; A139  &amp; ")1 - Yeah let's do that!" &amp; "__"</f>
        <v>&lt;(138)1 - Yeah let's do that!__</v>
      </c>
      <c r="E10" s="6" t="str">
        <f>"&lt;(" &amp; A17  &amp; ")2 - Maybe you should go around, you might find something interesting."  &amp; "__"</f>
        <v>&lt;(16)2 - Maybe you should go around, you might find something interesting.__</v>
      </c>
    </row>
    <row r="11" spans="1:10" ht="168" customHeight="1">
      <c r="A11" s="15">
        <v>10</v>
      </c>
      <c r="B11" s="8" t="s">
        <v>28</v>
      </c>
      <c r="C11" s="6" t="s">
        <v>29</v>
      </c>
      <c r="D11" s="6" t="str">
        <f>"&lt;(" &amp; A12  &amp; ")1 - I'm being serious. You wouldn't use conditional if you were sure." &amp; "__"</f>
        <v>&lt;(11)1 - I'm being serious. You wouldn't use conditional if you were sure.__</v>
      </c>
      <c r="E11" s="6" t="str">
        <f>"&lt;(" &amp; A13  &amp; ")2 - Is there something wrong?" &amp; "__"</f>
        <v>&lt;(12)2 - Is there something wrong?__</v>
      </c>
    </row>
    <row r="12" spans="1:10" ht="168" customHeight="1">
      <c r="A12" s="15">
        <v>11</v>
      </c>
      <c r="B12" s="8" t="s">
        <v>30</v>
      </c>
      <c r="C12" s="6" t="s">
        <v>31</v>
      </c>
      <c r="D12" s="6" t="str">
        <f>"&lt;(" &amp; A17  &amp; ")1 - Get Around it." &amp; "__"</f>
        <v>&lt;(16)1 - Get Around it.__</v>
      </c>
      <c r="E12" s="6" t="str">
        <f>"&lt;(" &amp; A139  &amp; ")2 - Get through it."  &amp; "__"</f>
        <v>&lt;(138)2 - Get through it.__</v>
      </c>
    </row>
    <row r="13" spans="1:10" ht="168" customHeight="1">
      <c r="A13" s="15">
        <v>12</v>
      </c>
      <c r="B13" s="8" t="s">
        <v>32</v>
      </c>
      <c r="C13" s="6" t="s">
        <v>33</v>
      </c>
      <c r="D13" s="6" t="str">
        <f>"&lt;(" &amp; A16  &amp; ")1 - It's hard for the both of us." &amp; "__"</f>
        <v>&lt;(15)1 - It's hard for the both of us.__</v>
      </c>
      <c r="E13" s="6" t="str">
        <f>"&lt;(" &amp; A14  &amp; ")2@ - I shouldn't have said those things." &amp; "__"</f>
        <v>&lt;(13)2@ - I shouldn't have said those things.__</v>
      </c>
      <c r="F13" s="6" t="str">
        <f>"&lt;(" &amp; A16  &amp; ") 3 - I get that, I'm sorry." &amp; "__"</f>
        <v>&lt;(15) 3 - I get that, I'm sorry.__</v>
      </c>
    </row>
    <row r="14" spans="1:10" ht="168" customHeight="1">
      <c r="A14" s="15">
        <v>13</v>
      </c>
      <c r="B14" s="8" t="s">
        <v>34</v>
      </c>
      <c r="C14" s="6" t="s">
        <v>35</v>
      </c>
      <c r="D14" s="6" t="str">
        <f>"&lt;(" &amp; A15  &amp; ") 1 - Yeah, let's not rest." &amp; "__"</f>
        <v>&lt;(14) 1 - Yeah, let's not rest.__</v>
      </c>
    </row>
    <row r="15" spans="1:10" ht="168" customHeight="1">
      <c r="A15" s="15">
        <v>14</v>
      </c>
      <c r="B15" s="8" t="s">
        <v>36</v>
      </c>
      <c r="C15" s="6" t="s">
        <v>37</v>
      </c>
      <c r="D15" s="6" t="str">
        <f>"&lt;(" &amp; A17  &amp; ")1 - I like the idea of finding another entrance better." &amp; "__"</f>
        <v>&lt;(16)1 - I like the idea of finding another entrance better.__</v>
      </c>
      <c r="E15" s="6" t="str">
        <f>"&lt;(" &amp; A139  &amp; ")2 - If you can do it, cross the fence." &amp; "__"</f>
        <v>&lt;(138)2 - If you can do it, cross the fence.__</v>
      </c>
    </row>
    <row r="16" spans="1:10" ht="168" customHeight="1">
      <c r="A16" s="15">
        <v>15</v>
      </c>
      <c r="B16" s="8" t="s">
        <v>38</v>
      </c>
      <c r="C16" s="6" t="s">
        <v>39</v>
      </c>
      <c r="D16" s="6" t="str">
        <f>"&lt;(" &amp; A139  &amp; ")1 - You should break the fence." &amp; "__"</f>
        <v>&lt;(138)1 - You should break the fence.__</v>
      </c>
      <c r="E16" s="6" t="str">
        <f>"&lt;(" &amp; A17  &amp; ")2 - I'd go around."  &amp; "__"</f>
        <v>&lt;(16)2 - I'd go around.__</v>
      </c>
    </row>
    <row r="17" spans="1:6" ht="168" customHeight="1">
      <c r="A17" s="13">
        <v>16</v>
      </c>
      <c r="B17" s="8" t="s">
        <v>40</v>
      </c>
      <c r="C17" s="6" t="s">
        <v>41</v>
      </c>
      <c r="D17" s="6" t="str">
        <f>"&lt;(" &amp; A18  &amp; ")1 - Exactly my thought." &amp; "__"</f>
        <v>&lt;(17)1 - Exactly my thought.__</v>
      </c>
      <c r="E17" s="6" t="str">
        <f>"&lt;(" &amp; A19  &amp; ")2 - Let's hope backdoors aren't either..."  &amp; "__"</f>
        <v>&lt;(18)2 - Let's hope backdoors aren't either...__</v>
      </c>
    </row>
    <row r="18" spans="1:6" ht="168" customHeight="1">
      <c r="A18" s="13">
        <v>17</v>
      </c>
      <c r="B18" s="8" t="s">
        <v>42</v>
      </c>
      <c r="C18" s="6" t="s">
        <v>43</v>
      </c>
      <c r="D18" s="6" t="str">
        <f>"&lt;(" &amp; A20  &amp; ")1 - Not like you'd find anything alive anyways. " &amp; "__"</f>
        <v>&lt;(19)1 - Not like you'd find anything alive anyways. __</v>
      </c>
      <c r="E18" s="6" t="str">
        <f>"&lt;(" &amp; A20  &amp; ")2 - Zoos are smelly."  &amp; "__"</f>
        <v>&lt;(19)2 - Zoos are smelly.__</v>
      </c>
    </row>
    <row r="19" spans="1:6" ht="168" customHeight="1">
      <c r="A19" s="13">
        <v>18</v>
      </c>
      <c r="B19" s="8" t="s">
        <v>44</v>
      </c>
      <c r="C19" s="6" t="s">
        <v>45</v>
      </c>
      <c r="D19" s="6" t="str">
        <f>"&lt;(" &amp; A21  &amp; ")1 - I'd doubt that. They probably built this place." &amp; "__"</f>
        <v>&lt;(20)1 - I'd doubt that. They probably built this place.__</v>
      </c>
      <c r="E19" s="6" t="str">
        <f>"&lt;(" &amp; A20  &amp; ")2 - I mean... This island has a zoo and a museum but no hopistal."  &amp; "__"</f>
        <v>&lt;(19)2 - I mean... This island has a zoo and a museum but no hopistal.__</v>
      </c>
    </row>
    <row r="20" spans="1:6" ht="168" customHeight="1">
      <c r="A20" s="2">
        <v>19</v>
      </c>
      <c r="B20" s="8" t="s">
        <v>46</v>
      </c>
      <c r="C20" s="16" t="s">
        <v>47</v>
      </c>
      <c r="D20" s="17" t="str">
        <f>"&lt;(" &amp; A24  &amp; ")1 - Who's that? What experiments?" &amp; "__"</f>
        <v>&lt;(23)1 - Who's that? What experiments?__</v>
      </c>
      <c r="E20" s="6" t="str">
        <f>"&lt;(" &amp; A22  &amp; ")2 - Good one. Have you found an entrance yet?"  &amp; "__"</f>
        <v>&lt;(21)2 - Good one. Have you found an entrance yet?__</v>
      </c>
    </row>
    <row r="21" spans="1:6" ht="168" customHeight="1">
      <c r="A21" s="2">
        <v>20</v>
      </c>
      <c r="B21" s="8" t="s">
        <v>48</v>
      </c>
      <c r="C21" s="16" t="s">
        <v>49</v>
      </c>
      <c r="D21" s="6" t="str">
        <f>"&lt;(" &amp; A24  &amp; ")1 - What's that about experiments? And still no idea who %you= are." &amp; "__"</f>
        <v>&lt;(23)1 - What's that about experiments? And still no idea who %you= are.__</v>
      </c>
      <c r="E21" s="6" t="str">
        <f>"&lt;(" &amp; A22  &amp; ")2 - It sure did. Did you find anything?"  &amp; "__"</f>
        <v>&lt;(21)2 - It sure did. Did you find anything?__</v>
      </c>
    </row>
    <row r="22" spans="1:6" ht="168" customHeight="1">
      <c r="A22" s="2">
        <v>21</v>
      </c>
      <c r="B22" s="8" t="s">
        <v>50</v>
      </c>
      <c r="C22" s="6" t="s">
        <v>51</v>
      </c>
      <c r="D22" s="6" t="str">
        <f>"&lt;(" &amp; A23  &amp; ")1 - I'm sure you'll find something to gnaw on once inside." &amp; "__"</f>
        <v>&lt;(22)1 - I'm sure you'll find something to gnaw on once inside.__</v>
      </c>
      <c r="E22" s="6" t="str">
        <f>"&lt;(" &amp; A23  &amp; ")2 - Did you just... rap?" &amp; "__"</f>
        <v>&lt;(22)2 - Did you just... rap?__</v>
      </c>
    </row>
    <row r="23" spans="1:6" ht="168" customHeight="1">
      <c r="A23" s="2">
        <v>22</v>
      </c>
      <c r="B23" s="8" t="s">
        <v>52</v>
      </c>
      <c r="C23" s="6" t="s">
        <v>53</v>
      </c>
      <c r="D23" s="6" t="str">
        <f>"&lt;(" &amp; A32  &amp; ")1 - What does it say?" &amp; "__"</f>
        <v>&lt;(31)1 - What does it say?__</v>
      </c>
    </row>
    <row r="24" spans="1:6" ht="168" customHeight="1">
      <c r="A24" s="2">
        <v>23</v>
      </c>
      <c r="B24" s="8" t="s">
        <v>54</v>
      </c>
      <c r="C24" s="16" t="s">
        <v>55</v>
      </c>
      <c r="D24" s="6" t="str">
        <f>"&lt;(" &amp; A25  &amp; ")1 - I'm not talking to you, there's someone in the call" &amp; "__"</f>
        <v>&lt;(24)1 - I'm not talking to you, there's someone in the call__</v>
      </c>
      <c r="E24" s="6" t="str">
        <f>"&lt;(" &amp; A25  &amp; ")2 - Jeez, fix your signal." &amp; "__"</f>
        <v>&lt;(24)2 - Jeez, fix your signal.__</v>
      </c>
    </row>
    <row r="25" spans="1:6" ht="168" customHeight="1">
      <c r="A25" s="2">
        <v>24</v>
      </c>
      <c r="B25" s="8" t="s">
        <v>56</v>
      </c>
      <c r="C25" s="16" t="s">
        <v>57</v>
      </c>
      <c r="D25" s="6" t="str">
        <f>"&lt;(" &amp; A29  &amp; ")1 - Someone's interfering. They say they want to help you." &amp; "__"</f>
        <v>&lt;(28)1 - Someone's interfering. They say they want to help you.__</v>
      </c>
      <c r="E25" s="6" t="str">
        <f>"&lt;(" &amp; A26  &amp; ")2| - Don't worry" &amp; "__"</f>
        <v>&lt;(25)2| - Don't worry__</v>
      </c>
    </row>
    <row r="26" spans="1:6" ht="168" customHeight="1">
      <c r="A26" s="2">
        <v>25</v>
      </c>
      <c r="B26" s="8" t="s">
        <v>58</v>
      </c>
      <c r="C26" s="6" t="s">
        <v>59</v>
      </c>
      <c r="D26" s="6" t="str">
        <f>"&lt;(" &amp; A27  &amp; ")1 - Listen! I'm confused, there's this person-" &amp; "__"</f>
        <v>&lt;(26)1 - Listen! I'm confused, there's this person-__</v>
      </c>
      <c r="E26" s="6" t="str">
        <f>"&lt;(" &amp; A23  &amp; ")2 - Just keep walking, for fuck's sake." &amp; "__"</f>
        <v>&lt;(22)2 - Just keep walking, for fuck's sake.__</v>
      </c>
      <c r="F26" s="6" t="str">
        <f>"&lt;(" &amp;  A138 &amp; ")3 - Well, actually it is." &amp; "__"</f>
        <v>&lt;(137)3 - Well, actually it is.__</v>
      </c>
    </row>
    <row r="27" spans="1:6" ht="168" customHeight="1">
      <c r="A27" s="2">
        <v>26</v>
      </c>
      <c r="B27" s="8" t="s">
        <v>60</v>
      </c>
      <c r="C27" s="6" t="s">
        <v>61</v>
      </c>
      <c r="D27" s="6" t="str">
        <f>"&lt;(" &amp; A28  &amp; ")1 - They seem to interfere with the outgoing signal, hence why you don't hear it." &amp; "__"</f>
        <v>&lt;(27)1 - They seem to interfere with the outgoing signal, hence why you don't hear it.__</v>
      </c>
      <c r="E27" s="6" t="str">
        <f>"&lt;(" &amp; A28  &amp; ")2 - Hard to understand what they're saying. They'd need you to get closer." &amp; "__"</f>
        <v>&lt;(27)2 - Hard to understand what they're saying. They'd need you to get closer.__</v>
      </c>
    </row>
    <row r="28" spans="1:6" ht="168" customHeight="1">
      <c r="A28" s="2">
        <v>27</v>
      </c>
      <c r="B28" s="8" t="s">
        <v>62</v>
      </c>
      <c r="C28" s="6" t="s">
        <v>63</v>
      </c>
      <c r="D28" s="6" t="str">
        <f>"&lt;(" &amp; A30  &amp; ")1 - We'll see. Let's try to listen to them for now." &amp; "__"</f>
        <v>&lt;(29)1 - We'll see. Let's try to listen to them for now.__</v>
      </c>
      <c r="E28" s="6" t="str">
        <f>"&lt;(" &amp; A29  &amp; ")2 - You're screwed either way if that's the case. Might as well tempt it." &amp; "__"</f>
        <v>&lt;(28)2 - You're screwed either way if that's the case. Might as well tempt it.__</v>
      </c>
      <c r="F28" s="6" t="str">
        <f>"&lt;(" &amp; A29  &amp; ")1 - I'm still there. Don't worry.;29" &amp; "__"</f>
        <v>&lt;(28)1 - I'm still there. Don't worry.;29__</v>
      </c>
    </row>
    <row r="29" spans="1:6" ht="168" customHeight="1">
      <c r="A29" s="2">
        <v>28</v>
      </c>
      <c r="B29" s="8" t="s">
        <v>64</v>
      </c>
      <c r="C29" s="6" t="s">
        <v>65</v>
      </c>
      <c r="D29" s="6" t="str">
        <f>"&lt;(" &amp; A31  &amp; ")1@- Getting the spirit!" &amp; "__"</f>
        <v>&lt;(30)1@- Getting the spirit!__</v>
      </c>
      <c r="E29" s="6" t="str">
        <f>"&lt;(" &amp; A31  &amp; ")2@- Feeling better?" &amp; "__"</f>
        <v>&lt;(30)2@- Feeling better?__</v>
      </c>
    </row>
    <row r="30" spans="1:6" ht="168" customHeight="1">
      <c r="A30" s="2">
        <v>29</v>
      </c>
      <c r="B30" s="8" t="s">
        <v>66</v>
      </c>
      <c r="C30" s="6" t="s">
        <v>67</v>
      </c>
      <c r="D30" s="6" t="str">
        <f>"&lt;(" &amp; A31  &amp; ")1 - Just keep going." &amp; "__"</f>
        <v>&lt;(30)1 - Just keep going.__</v>
      </c>
      <c r="E30" s="6" t="str">
        <f>"&lt;(" &amp; A31  &amp; ")2 - Trust me!" &amp; "__"</f>
        <v>&lt;(30)2 - Trust me!__</v>
      </c>
    </row>
    <row r="31" spans="1:6" ht="168" customHeight="1">
      <c r="A31" s="2">
        <v>30</v>
      </c>
      <c r="B31" s="8" t="s">
        <v>52</v>
      </c>
      <c r="C31" s="6" t="s">
        <v>68</v>
      </c>
      <c r="D31" s="6" t="str">
        <f>"&lt;(" &amp; A32  &amp; ")1 - What does it say?" &amp; "__"</f>
        <v>&lt;(31)1 - What does it say?__</v>
      </c>
    </row>
    <row r="32" spans="1:6" ht="168" customHeight="1">
      <c r="A32" s="2">
        <v>31</v>
      </c>
      <c r="B32" s="8" t="s">
        <v>69</v>
      </c>
      <c r="C32" s="6" t="s">
        <v>70</v>
      </c>
      <c r="D32" s="6" t="str">
        <f>"&lt;(" &amp; A33  &amp; ")1 - What does that mean?" &amp; "__"</f>
        <v>&lt;(32)1 - What does that mean?__</v>
      </c>
      <c r="E32" s="6" t="str">
        <f>"&lt;(" &amp; A34  &amp; ")1 - Who do you think did it?" &amp; "__"</f>
        <v>&lt;(33)1 - Who do you think did it?__</v>
      </c>
    </row>
    <row r="33" spans="1:7" ht="168" customHeight="1">
      <c r="A33" s="18">
        <v>32</v>
      </c>
      <c r="B33" s="8" t="s">
        <v>42</v>
      </c>
      <c r="C33" s="6" t="s">
        <v>71</v>
      </c>
      <c r="D33" s="6" t="str">
        <f>"&lt;(" &amp; A35  &amp; ")1 - Yup, I really don't know." &amp; "__"</f>
        <v>&lt;(34)1 - Yup, I really don't know.__</v>
      </c>
    </row>
    <row r="34" spans="1:7" ht="168" customHeight="1">
      <c r="A34" s="18">
        <v>33</v>
      </c>
      <c r="B34" s="8" t="s">
        <v>44</v>
      </c>
      <c r="C34" s="16" t="s">
        <v>72</v>
      </c>
      <c r="D34" s="6" t="str">
        <f>"&lt;(" &amp; A35  &amp; ")1 - Apparently they didn't." &amp; "__"</f>
        <v>&lt;(34)1 - Apparently they didn't.__</v>
      </c>
      <c r="E34" s="6" t="str">
        <f>"&lt;(" &amp; A35  &amp; ")2 - Their connection is shit! I have no idea what a '-Ures' is. " &amp; "__"</f>
        <v>&lt;(34)2 - Their connection is shit! I have no idea what a '-Ures' is. __</v>
      </c>
    </row>
    <row r="35" spans="1:7" ht="168" customHeight="1">
      <c r="A35" s="2">
        <v>34</v>
      </c>
      <c r="B35" s="8" t="s">
        <v>73</v>
      </c>
      <c r="C35" s="6" t="s">
        <v>74</v>
      </c>
      <c r="D35" s="6" t="str">
        <f>"&lt;(" &amp; A36  &amp; ") 1 - It's just a matter of grabbing the fuse and leaving." &amp; "__"</f>
        <v>&lt;(35) 1 - It's just a matter of grabbing the fuse and leaving.__</v>
      </c>
      <c r="E35" s="6" t="str">
        <f>"&lt;(" &amp; A36  &amp; ") 2 - Probably there as part of the game, just keep walking" &amp; "__"</f>
        <v>&lt;(35) 2 - Probably there as part of the game, just keep walking__</v>
      </c>
    </row>
    <row r="36" spans="1:7" ht="168" customHeight="1">
      <c r="A36" s="2">
        <v>35</v>
      </c>
      <c r="B36" s="8" t="s">
        <v>75</v>
      </c>
      <c r="C36" s="6" t="s">
        <v>76</v>
      </c>
      <c r="D36" s="6" t="str">
        <f>"&lt;(" &amp; A37  &amp; ") 1 - So, what's up?" &amp; "__"</f>
        <v>&lt;(36) 1 - So, what's up?__</v>
      </c>
    </row>
    <row r="37" spans="1:7" ht="168" customHeight="1">
      <c r="A37" s="2">
        <v>36</v>
      </c>
      <c r="B37" s="8" t="s">
        <v>77</v>
      </c>
      <c r="C37" s="6" t="s">
        <v>78</v>
      </c>
      <c r="D37" s="6" t="str">
        <f>"&lt;(" &amp; A38  &amp; ") 1 - ..." &amp; "__"</f>
        <v>&lt;(37) 1 - ...__</v>
      </c>
      <c r="E37" s="6" t="str">
        <f>"&lt;(" &amp; A38  &amp; ") 1 - What." &amp; "__"</f>
        <v>&lt;(37) 1 - What.__</v>
      </c>
    </row>
    <row r="38" spans="1:7" ht="168" customHeight="1">
      <c r="A38" s="2">
        <v>37</v>
      </c>
      <c r="B38" s="8" t="s">
        <v>79</v>
      </c>
      <c r="C38" s="6" t="s">
        <v>80</v>
      </c>
      <c r="D38" s="6" t="str">
        <f>"&lt;(" &amp; A40  &amp; ") 1 - If it's a game, there must be a clue somewhere." &amp; "__"</f>
        <v>&lt;(39) 1 - If it's a game, there must be a clue somewhere.__</v>
      </c>
      <c r="E38" s="6" t="str">
        <f>"&lt;(" &amp; A39  &amp; ") 1 - Let's go back and push that fence." &amp; "__"</f>
        <v>&lt;(38) 1 - Let's go back and push that fence.__</v>
      </c>
    </row>
    <row r="39" spans="1:7" ht="168" customHeight="1">
      <c r="A39" s="2">
        <v>38</v>
      </c>
      <c r="B39" s="8" t="s">
        <v>81</v>
      </c>
      <c r="C39" s="6" t="s">
        <v>82</v>
      </c>
      <c r="D39" s="6" t="str">
        <f>"&lt;(" &amp; A41  &amp; ") 1 - What's on the left?" &amp; "__"</f>
        <v>&lt;(40) 1 - What's on the left?__</v>
      </c>
      <c r="E39" s="6" t="str">
        <f>"&lt;(" &amp; A43  &amp; ") 2 - What's on the right?" &amp; "__"</f>
        <v>&lt;(42) 2 - What's on the right?__</v>
      </c>
    </row>
    <row r="40" spans="1:7" ht="168" customHeight="1">
      <c r="A40" s="2">
        <v>39</v>
      </c>
      <c r="B40" s="8" t="s">
        <v>83</v>
      </c>
      <c r="C40" s="6" t="s">
        <v>84</v>
      </c>
      <c r="D40" s="6" t="str">
        <f>"&lt;(" &amp; A41  &amp; ") 1 - Anything on the left?" &amp; "__"</f>
        <v>&lt;(40) 1 - Anything on the left?__</v>
      </c>
      <c r="E40" s="6" t="str">
        <f>"&lt;(" &amp; A43  &amp; ") 2 - Anything on the right?" &amp; "__"</f>
        <v>&lt;(42) 2 - Anything on the right?__</v>
      </c>
    </row>
    <row r="41" spans="1:7" ht="168" customHeight="1">
      <c r="A41" s="2">
        <v>40</v>
      </c>
      <c r="B41" s="8" t="s">
        <v>85</v>
      </c>
      <c r="C41" s="6" t="s">
        <v>86</v>
      </c>
      <c r="D41" s="6" t="str">
        <f>"&lt;(" &amp; A42  &amp; ") 1 - Definitely there on purpose! What's on the right?" &amp; "__"</f>
        <v>&lt;(41) 1 - Definitely there on purpose! What's on the right?__</v>
      </c>
    </row>
    <row r="42" spans="1:7" ht="168" customHeight="1">
      <c r="A42" s="2">
        <v>41</v>
      </c>
      <c r="B42" s="8" t="s">
        <v>87</v>
      </c>
      <c r="C42" s="6" t="s">
        <v>88</v>
      </c>
      <c r="D42" s="6" t="str">
        <f>"&lt;(" &amp; A45  &amp; ") 1 - Okay, try this." &amp; "__"</f>
        <v>&lt;(44) 1 - Okay, try this.__</v>
      </c>
    </row>
    <row r="43" spans="1:7" ht="168" customHeight="1">
      <c r="A43" s="2">
        <v>42</v>
      </c>
      <c r="B43" s="8" t="s">
        <v>89</v>
      </c>
      <c r="C43" s="6" t="s">
        <v>90</v>
      </c>
      <c r="D43" s="6" t="str">
        <f>"&lt;(" &amp; A44  &amp; ") 1 - Too specific to mean nothing, look to the left." &amp; "__"</f>
        <v>&lt;(43) 1 - Too specific to mean nothing, look to the left.__</v>
      </c>
    </row>
    <row r="44" spans="1:7" ht="168" customHeight="1">
      <c r="A44" s="2">
        <v>43</v>
      </c>
      <c r="B44" s="8" t="s">
        <v>91</v>
      </c>
      <c r="C44" s="6" t="s">
        <v>92</v>
      </c>
      <c r="D44" s="6" t="str">
        <f>"&lt;(" &amp; A45  &amp; ") 1 - Calm down and try this." &amp; "__"</f>
        <v>&lt;(44) 1 - Calm down and try this.__</v>
      </c>
    </row>
    <row r="45" spans="1:7" ht="168" customHeight="1">
      <c r="A45" s="2">
        <v>44</v>
      </c>
      <c r="B45" s="8" t="s">
        <v>93</v>
      </c>
      <c r="C45" s="6" t="s">
        <v>94</v>
      </c>
      <c r="D45" s="6" t="str">
        <f>"&lt;(" &amp; A47  &amp; ") 3" &amp; "__"</f>
        <v>&lt;(46) 3__</v>
      </c>
      <c r="E45" s="6" t="str">
        <f>"&lt;(" &amp; A47  &amp; ") 4" &amp; "__"</f>
        <v>&lt;(46) 4__</v>
      </c>
      <c r="F45" s="6" t="str">
        <f>"&lt;(" &amp; A46  &amp; ") 6" &amp; "__"</f>
        <v>&lt;(45) 6__</v>
      </c>
      <c r="G45" s="6" t="str">
        <f>"&lt;(" &amp; A47  &amp; ") 7" &amp; "__"</f>
        <v>&lt;(46) 7__</v>
      </c>
    </row>
    <row r="46" spans="1:7" ht="168" customHeight="1">
      <c r="A46" s="20">
        <v>45</v>
      </c>
      <c r="B46" s="8" t="s">
        <v>95</v>
      </c>
      <c r="C46" s="6" t="s">
        <v>96</v>
      </c>
      <c r="D46" s="6" t="str">
        <f>"&lt;(" &amp; A49  &amp; ") 3" &amp; "__"</f>
        <v>&lt;(48) 3__</v>
      </c>
      <c r="E46" s="6" t="str">
        <f>"&lt;(" &amp; A49  &amp; ") 4" &amp; "__"</f>
        <v>&lt;(48) 4__</v>
      </c>
      <c r="F46" s="6" t="str">
        <f>"&lt;(" &amp; A48  &amp; ") 6" &amp; "__"</f>
        <v>&lt;(47) 6__</v>
      </c>
      <c r="G46" s="6" t="str">
        <f>"&lt;(" &amp; A49  &amp; ") 7" &amp; "__"</f>
        <v>&lt;(48) 7__</v>
      </c>
    </row>
    <row r="47" spans="1:7" ht="168" customHeight="1">
      <c r="A47" s="19">
        <v>46</v>
      </c>
      <c r="B47" s="8" t="s">
        <v>97</v>
      </c>
      <c r="C47" s="6" t="s">
        <v>96</v>
      </c>
      <c r="D47" s="6" t="str">
        <f>"&lt;(" &amp; A49  &amp; ") 3" &amp; "__"</f>
        <v>&lt;(48) 3__</v>
      </c>
      <c r="E47" s="6" t="str">
        <f>"&lt;(" &amp; A49  &amp; ") 4" &amp; "__"</f>
        <v>&lt;(48) 4__</v>
      </c>
      <c r="F47" s="6" t="str">
        <f>"&lt;(" &amp; A49  &amp; ") 6" &amp; "__"</f>
        <v>&lt;(48) 6__</v>
      </c>
      <c r="G47" s="6" t="str">
        <f>"&lt;(" &amp; A49  &amp; ") 7" &amp; "__"</f>
        <v>&lt;(48) 7__</v>
      </c>
    </row>
    <row r="48" spans="1:7" ht="168" customHeight="1">
      <c r="A48" s="20">
        <v>47</v>
      </c>
      <c r="B48" s="8" t="s">
        <v>98</v>
      </c>
      <c r="C48" s="6" t="s">
        <v>99</v>
      </c>
      <c r="D48" s="6" t="str">
        <f>"&lt;(" &amp; A51  &amp; ") 3" &amp; "__"</f>
        <v>&lt;(50) 3__</v>
      </c>
      <c r="E48" s="6" t="str">
        <f t="shared" ref="E47:E53" si="0">"&lt;(" &amp; A51  &amp; ") 4" &amp; "__"</f>
        <v>&lt;(50) 4__</v>
      </c>
      <c r="F48" s="6" t="str">
        <f>"&lt;(" &amp; A50  &amp; ") 6" &amp; "__"</f>
        <v>&lt;(49) 6__</v>
      </c>
      <c r="G48" s="6" t="str">
        <f t="shared" ref="G47:G53" si="1">"&lt;(" &amp; A51  &amp; ") 7" &amp; "__"</f>
        <v>&lt;(50) 7__</v>
      </c>
    </row>
    <row r="49" spans="1:7" ht="168" customHeight="1">
      <c r="A49" s="19">
        <v>48</v>
      </c>
      <c r="B49" s="8" t="s">
        <v>100</v>
      </c>
      <c r="C49" s="7" t="s">
        <v>99</v>
      </c>
      <c r="D49" s="6" t="str">
        <f>"&lt;(" &amp; A51  &amp; ") 3" &amp; "__"</f>
        <v>&lt;(50) 3__</v>
      </c>
      <c r="E49" s="6" t="str">
        <f>"&lt;(" &amp; A51  &amp; ") 4" &amp; "__"</f>
        <v>&lt;(50) 4__</v>
      </c>
      <c r="F49" s="6" t="str">
        <f>"&lt;(" &amp; A51  &amp; ") 6" &amp; "__"</f>
        <v>&lt;(50) 6__</v>
      </c>
      <c r="G49" s="6" t="str">
        <f>"&lt;(" &amp; A51  &amp; ") 7" &amp; "__"</f>
        <v>&lt;(50) 7__</v>
      </c>
    </row>
    <row r="50" spans="1:7" ht="168" customHeight="1">
      <c r="A50" s="20">
        <v>49</v>
      </c>
      <c r="B50" s="8" t="s">
        <v>101</v>
      </c>
      <c r="C50" s="6" t="s">
        <v>102</v>
      </c>
      <c r="D50" s="6" t="str">
        <f>"&lt;(" &amp; A52  &amp; ")1@- Remembered good ol' 5318008." &amp; "__"</f>
        <v>&lt;(51)1@- Remembered good ol' 5318008.__</v>
      </c>
      <c r="E50" s="6" t="str">
        <f>"&lt;(" &amp; A53  &amp; ") 2 - A friend helped." &amp; "__"</f>
        <v>&lt;(52) 2 - A friend helped.__</v>
      </c>
      <c r="F50" s="6" t="str">
        <f>"&lt;(" &amp; A54  &amp; ")3|- Are you dense?" &amp; "__"</f>
        <v>&lt;(53)3|- Are you dense?__</v>
      </c>
    </row>
    <row r="51" spans="1:7" ht="168" customHeight="1">
      <c r="A51" s="19">
        <v>50</v>
      </c>
      <c r="B51" s="8" t="s">
        <v>103</v>
      </c>
      <c r="C51" s="16" t="s">
        <v>104</v>
      </c>
      <c r="D51" s="6" t="str">
        <f>"&lt;(" &amp; A45  &amp; ") 1 - Okay, let's try something else." &amp; "__"</f>
        <v>&lt;(44) 1 - Okay, let's try something else.__</v>
      </c>
    </row>
    <row r="52" spans="1:7" ht="168" customHeight="1">
      <c r="A52" s="21">
        <v>51</v>
      </c>
      <c r="B52" s="8" t="s">
        <v>105</v>
      </c>
      <c r="C52" s="6" t="s">
        <v>106</v>
      </c>
      <c r="D52" s="6" t="str">
        <f>"&lt;(" &amp; A55  &amp; ") 1 - Yeah definit-" &amp; "__"</f>
        <v>&lt;(54) 1 - Yeah definit-__</v>
      </c>
      <c r="E52" s="6" t="str">
        <f>"&lt;(" &amp; A55  &amp; ") 1 - Hey! I-" &amp; "__"</f>
        <v>&lt;(54) 1 - Hey! I-__</v>
      </c>
      <c r="F52" s="6" t="str">
        <f>"&lt;(" &amp; A55  &amp; ") 1 - I thought you'd worry about the satan stu-" &amp; "__"</f>
        <v>&lt;(54) 1 - I thought you'd worry about the satan stu-__</v>
      </c>
    </row>
    <row r="53" spans="1:7" ht="168" customHeight="1">
      <c r="A53" s="21">
        <v>52</v>
      </c>
      <c r="B53" s="8" t="s">
        <v>107</v>
      </c>
      <c r="C53" s="6" t="s">
        <v>108</v>
      </c>
      <c r="D53" s="6" t="str">
        <f>"&lt;(" &amp; A56  &amp; ") 1 - Actually, they didn-" &amp; "__"</f>
        <v>&lt;(55) 1 - Actually, they didn-__</v>
      </c>
      <c r="E53" s="6" t="str">
        <f>"&lt;(" &amp; A54  &amp; ") 2 - They simply hinted m-" &amp; "__"</f>
        <v>&lt;(53) 2 - They simply hinted m-__</v>
      </c>
    </row>
    <row r="54" spans="1:7" ht="168" customHeight="1">
      <c r="A54" s="21">
        <v>53</v>
      </c>
      <c r="B54" s="8" t="s">
        <v>109</v>
      </c>
      <c r="C54" s="6" t="s">
        <v>110</v>
      </c>
      <c r="D54" s="6" t="str">
        <f>"&lt;(" &amp; A55  &amp; ") 1 - You don't seem to str-" &amp; "__"</f>
        <v>&lt;(54) 1 - You don't seem to str-__</v>
      </c>
      <c r="E54" s="6" t="str">
        <f>"&lt;(" &amp; A55  &amp; ") 2 - Still kinda du-" &amp; "__"</f>
        <v>&lt;(54) 2 - Still kinda du-__</v>
      </c>
    </row>
    <row r="55" spans="1:7" ht="168" customHeight="1">
      <c r="A55" s="2">
        <v>54</v>
      </c>
      <c r="B55" s="8" t="s">
        <v>111</v>
      </c>
      <c r="C55" s="6" t="s">
        <v>112</v>
      </c>
      <c r="D55" s="6" t="str">
        <f>"&lt;(" &amp; A56  &amp; ") 1 - Do you even know how to use it?" &amp; "__"</f>
        <v>&lt;(55) 1 - Do you even know how to use it?__</v>
      </c>
      <c r="E55" s="6" t="str">
        <f>"&lt;(" &amp; A56  &amp; ") 2 - Shh. You might get hurt." &amp; "__"</f>
        <v>&lt;(55) 2 - Shh. You might get hurt.__</v>
      </c>
      <c r="F55" s="6" t="str">
        <f>"&lt;(" &amp; A57  &amp; ") 1 - Nice." &amp; "__"</f>
        <v>&lt;(56) 1 - Nice.__</v>
      </c>
    </row>
    <row r="56" spans="1:7" ht="168" customHeight="1">
      <c r="A56" s="2">
        <v>55</v>
      </c>
      <c r="B56" s="8" t="s">
        <v>113</v>
      </c>
      <c r="C56" s="6" t="s">
        <v>114</v>
      </c>
      <c r="D56" s="6" t="str">
        <f>"&lt;(" &amp; A57  &amp; ") 1 - Oh, ok, you seem to be feeling better." &amp; "__"</f>
        <v>&lt;(56) 1 - Oh, ok, you seem to be feeling better.__</v>
      </c>
      <c r="E56" s="6" t="str">
        <f>"&lt;(" &amp; A57  &amp; ") 2 - Are... Are you sure?" &amp; "__"</f>
        <v>&lt;(56) 2 - Are... Are you sure?__</v>
      </c>
    </row>
    <row r="57" spans="1:7" ht="168" customHeight="1">
      <c r="A57" s="2">
        <v>56</v>
      </c>
      <c r="B57" s="8" t="s">
        <v>115</v>
      </c>
      <c r="C57" s="6" t="s">
        <v>116</v>
      </c>
      <c r="D57" s="6" t="str">
        <f>"&lt;(" &amp; A58  &amp;") 1 - You quirky little thief." &amp; "__"</f>
        <v>&lt;(57) 1 - You quirky little thief.__</v>
      </c>
      <c r="E57" s="6" t="str">
        <f>"&lt;(" &amp; A58  &amp;") 2 - Keep your prize." &amp; "__"</f>
        <v>&lt;(57) 2 - Keep your prize.__</v>
      </c>
    </row>
    <row r="58" spans="1:7" ht="168" customHeight="1">
      <c r="A58" s="2">
        <v>57</v>
      </c>
      <c r="B58" s="8" t="s">
        <v>117</v>
      </c>
      <c r="C58" s="6" t="s">
        <v>118</v>
      </c>
      <c r="D58" s="6" t="str">
        <f>"&lt;(" &amp; A59  &amp;") 1 - Did you open the door?" &amp; "__"</f>
        <v>&lt;(58) 1 - Did you open the door?__</v>
      </c>
      <c r="E58" s="6" t="str">
        <f>"&lt;(" &amp; A59  &amp;") 2 - What's inside?" &amp; "__"</f>
        <v>&lt;(58) 2 - What's inside?__</v>
      </c>
    </row>
    <row r="59" spans="1:7" ht="168" customHeight="1">
      <c r="A59" s="2">
        <v>58</v>
      </c>
      <c r="B59" s="8" t="s">
        <v>119</v>
      </c>
      <c r="C59" s="6" t="s">
        <v>120</v>
      </c>
      <c r="D59" s="6" t="str">
        <f>"&lt;(" &amp; A60  &amp;") 1 - How big exactly?" &amp; "__"</f>
        <v>&lt;(59) 1 - How big exactly?__</v>
      </c>
      <c r="E59" s="6" t="str">
        <f>"&lt;(" &amp; A61  &amp;") 2 - How many are there?" &amp; "__"</f>
        <v>&lt;(60) 2 - How many are there?__</v>
      </c>
    </row>
    <row r="60" spans="1:7" ht="168" customHeight="1">
      <c r="A60" s="15">
        <v>59</v>
      </c>
      <c r="B60" s="8" t="s">
        <v>121</v>
      </c>
      <c r="C60" s="22" t="s">
        <v>122</v>
      </c>
      <c r="D60" s="6" t="str">
        <f>"&lt;(" &amp; A62  &amp;") 1 - To the person interfering, what's that about?" &amp; "__"</f>
        <v>&lt;(61) 1 - To the person interfering, what's that about?__</v>
      </c>
      <c r="E60" s="6" t="str">
        <f>"&lt;(" &amp; A63  &amp;") 2 - Are you... alright?" &amp; "__"</f>
        <v>&lt;(62) 2 - Are you... alright?__</v>
      </c>
    </row>
    <row r="61" spans="1:7" ht="168" customHeight="1">
      <c r="A61" s="15">
        <v>60</v>
      </c>
      <c r="B61" s="8" t="s">
        <v>123</v>
      </c>
      <c r="C61" s="22" t="s">
        <v>124</v>
      </c>
      <c r="D61" s="6" t="str">
        <f>"&lt;(" &amp; A62  &amp;") 1 - Talking to the mystery person, what do you mean?" &amp; "__"</f>
        <v>&lt;(61) 1 - Talking to the mystery person, what do you mean?__</v>
      </c>
      <c r="E61" s="6" t="str">
        <f>"&lt;(" &amp; A63  &amp;") 2 - Is everything okay?" &amp; "__"</f>
        <v>&lt;(62) 2 - Is everything okay?__</v>
      </c>
    </row>
    <row r="62" spans="1:7" ht="168" customHeight="1">
      <c r="A62" s="15">
        <v>61</v>
      </c>
      <c r="B62" s="23" t="s">
        <v>125</v>
      </c>
      <c r="C62" s="22" t="s">
        <v>126</v>
      </c>
      <c r="D62" s="6" t="str">
        <f>"&lt;(" &amp; A64  &amp;") 1 - What do you mean 'grown'?" &amp; "__"</f>
        <v>&lt;(63) 1 - What do you mean 'grown'?__</v>
      </c>
      <c r="E62" s="6" t="str">
        <f>"&lt;(" &amp; A65  &amp;") 2 - Wait... Do you live there?" &amp; "__"</f>
        <v>&lt;(64) 2 - Wait... Do you live there?__</v>
      </c>
    </row>
    <row r="63" spans="1:7" ht="168" customHeight="1">
      <c r="A63" s="15">
        <v>62</v>
      </c>
      <c r="B63" s="8" t="s">
        <v>127</v>
      </c>
      <c r="C63" s="22" t="s">
        <v>128</v>
      </c>
      <c r="D63" s="6" t="str">
        <f>"&lt;(" &amp; A64  &amp;") 1 - Must be the hunger. You really need to eat." &amp; "__"</f>
        <v>&lt;(63) 1 - Must be the hunger. You really need to eat.__</v>
      </c>
      <c r="E63" s="6" t="str">
        <f>"&lt;(" &amp; A65  &amp;") 2 - Is this... Your home?" &amp; "__"</f>
        <v>&lt;(64) 2 - Is this... Your home?__</v>
      </c>
    </row>
    <row r="64" spans="1:7" ht="168" customHeight="1">
      <c r="A64" s="15">
        <v>63</v>
      </c>
      <c r="B64" s="8" t="s">
        <v>129</v>
      </c>
      <c r="C64" s="25" t="s">
        <v>130</v>
      </c>
      <c r="D64" s="6" t="str">
        <f>"&lt;(" &amp; A66  &amp;") 1 - There is food down there." &amp; "__"</f>
        <v>&lt;(65) 1 - There is food down there.__</v>
      </c>
    </row>
    <row r="65" spans="1:5" ht="168" customHeight="1">
      <c r="A65" s="15">
        <v>64</v>
      </c>
      <c r="B65" s="8" t="s">
        <v>131</v>
      </c>
      <c r="C65" s="24" t="s">
        <v>132</v>
      </c>
      <c r="D65" s="6" t="str">
        <f>"&lt;(" &amp; A66  &amp;") 1 - Yes, you need to go down to the damp area. There is food." &amp; "__"</f>
        <v>&lt;(65) 1 - Yes, you need to go down to the damp area. There is food.__</v>
      </c>
    </row>
    <row r="66" spans="1:5" ht="168" customHeight="1">
      <c r="A66" s="2">
        <v>65</v>
      </c>
      <c r="B66" s="8" t="s">
        <v>133</v>
      </c>
      <c r="C66" s="6" t="s">
        <v>134</v>
      </c>
      <c r="D66" s="6" t="str">
        <f>"&lt;(" &amp; A67  &amp;") 1 - Wait. Where are you going?" &amp; "__"</f>
        <v>&lt;(66) 1 - Wait. Where are you going?__</v>
      </c>
    </row>
    <row r="67" spans="1:5" ht="168" customHeight="1">
      <c r="A67" s="2">
        <v>66</v>
      </c>
      <c r="C67" s="22" t="s">
        <v>135</v>
      </c>
      <c r="D67" s="6" t="str">
        <f>"&lt;(" &amp; A68  &amp;")1 - You really want to go in there?" &amp; "__"</f>
        <v>&lt;(67)1 - You really want to go in there?__</v>
      </c>
      <c r="E67" s="6" t="str">
        <f>"&lt;(" &amp; A68  &amp;")2 - Still got the wrench with you?" &amp; "__"</f>
        <v>&lt;(67)2 - Still got the wrench with you?__</v>
      </c>
    </row>
    <row r="68" spans="1:5" ht="168" customHeight="1">
      <c r="A68" s="2">
        <v>67</v>
      </c>
      <c r="C68" s="6" t="s">
        <v>136</v>
      </c>
      <c r="D68" s="6" t="str">
        <f>"&lt;(" &amp; A79  &amp;")1 - Use wrench on big bolt." &amp; "__"</f>
        <v>&lt;(78)1 - Use wrench on big bolt.__</v>
      </c>
    </row>
    <row r="69" spans="1:5" ht="168" customHeight="1">
      <c r="A69" s="2">
        <v>68</v>
      </c>
      <c r="C69" s="22" t="s">
        <v>137</v>
      </c>
    </row>
    <row r="70" spans="1:5" ht="168" customHeight="1">
      <c r="A70" s="2">
        <v>69</v>
      </c>
    </row>
    <row r="71" spans="1:5" ht="168" customHeight="1">
      <c r="A71" s="2">
        <v>70</v>
      </c>
      <c r="C71" s="6"/>
    </row>
    <row r="72" spans="1:5" ht="168" customHeight="1">
      <c r="A72" s="2">
        <v>71</v>
      </c>
      <c r="C72" s="6"/>
    </row>
    <row r="73" spans="1:5" ht="168" customHeight="1">
      <c r="A73" s="2">
        <v>72</v>
      </c>
      <c r="C73" s="6"/>
    </row>
    <row r="74" spans="1:5" ht="168" customHeight="1">
      <c r="A74" s="2">
        <v>73</v>
      </c>
      <c r="C74" s="6"/>
    </row>
    <row r="75" spans="1:5" ht="168" customHeight="1">
      <c r="A75" s="2">
        <v>74</v>
      </c>
      <c r="C75" s="6"/>
    </row>
    <row r="76" spans="1:5" ht="168" customHeight="1">
      <c r="A76" s="2">
        <v>75</v>
      </c>
      <c r="C76" s="6"/>
    </row>
    <row r="77" spans="1:5" ht="168" customHeight="1">
      <c r="A77" s="2">
        <v>76</v>
      </c>
      <c r="C77" s="6"/>
    </row>
    <row r="78" spans="1:5" ht="168" customHeight="1">
      <c r="A78" s="2">
        <v>77</v>
      </c>
      <c r="C78" s="6"/>
    </row>
    <row r="79" spans="1:5" ht="168" customHeight="1">
      <c r="A79" s="2">
        <v>78</v>
      </c>
      <c r="C79" s="6" t="s">
        <v>138</v>
      </c>
      <c r="D79" s="6" t="str">
        <f>"&lt;(" &amp; A81  &amp;")1 - Not even gonna react to me skillfully handling that puzzle?;79" &amp; "__"</f>
        <v>&lt;(80)1 - Not even gonna react to me skillfully handling that puzzle?;79__</v>
      </c>
    </row>
    <row r="80" spans="1:5" ht="168" customHeight="1">
      <c r="A80" s="2">
        <v>79</v>
      </c>
      <c r="C80" s="6" t="s">
        <v>139</v>
      </c>
      <c r="D80" s="6" t="str">
        <f>"&lt;(" &amp; A82  &amp;")1 - Always glad to help..." &amp; "__"</f>
        <v>&lt;(81)1 - Always glad to help...__</v>
      </c>
    </row>
    <row r="81" spans="1:9" ht="168" customHeight="1">
      <c r="A81" s="2">
        <v>80</v>
      </c>
      <c r="C81" s="6" t="s">
        <v>140</v>
      </c>
      <c r="D81" s="6" t="str">
        <f>"&lt;(" &amp; A82  &amp;")1 - Always glad to help!" &amp; "__"</f>
        <v>&lt;(81)1 - Always glad to help!__</v>
      </c>
    </row>
    <row r="82" spans="1:9" ht="168" customHeight="1">
      <c r="A82" s="2">
        <v>81</v>
      </c>
      <c r="C82" s="6" t="s">
        <v>141</v>
      </c>
      <c r="D82" s="6" t="str">
        <f>"&lt;(" &amp; A83  &amp;")1 - Things are looking up!" &amp; "__"</f>
        <v>&lt;(82)1 - Things are looking up!__</v>
      </c>
      <c r="E82" s="6" t="str">
        <f>"&lt;(" &amp; A84  &amp;")2 - Getting there already?" &amp; "__"</f>
        <v>&lt;(83)2 - Getting there already?__</v>
      </c>
    </row>
    <row r="83" spans="1:9" ht="168" customHeight="1">
      <c r="A83" s="2">
        <v>82</v>
      </c>
      <c r="B83" s="8" t="s">
        <v>142</v>
      </c>
      <c r="C83" s="6" t="s">
        <v>143</v>
      </c>
      <c r="D83" s="6" t="str">
        <f>"&lt;(" &amp; A85  &amp;")1 - Probably, yes." &amp; "__"</f>
        <v>&lt;(84)1 - Probably, yes.__</v>
      </c>
      <c r="E83"/>
    </row>
    <row r="84" spans="1:9" ht="168" customHeight="1">
      <c r="A84" s="2">
        <v>83</v>
      </c>
      <c r="B84" s="8" t="s">
        <v>144</v>
      </c>
      <c r="C84" s="6" t="s">
        <v>145</v>
      </c>
      <c r="D84" s="6" t="str">
        <f>"&lt;(" &amp; A85  &amp;")1 - Your kidnapper, for sure." &amp; "__"</f>
        <v>&lt;(84)1 - Your kidnapper, for sure.__</v>
      </c>
      <c r="E84" s="6" t="str">
        <f>"&lt;(" &amp; A85  &amp;")1 - The person interfering, at least." &amp; "__"</f>
        <v>&lt;(84)1 - The person interfering, at least.__</v>
      </c>
    </row>
    <row r="85" spans="1:9" ht="168" customHeight="1">
      <c r="A85" s="2">
        <v>84</v>
      </c>
      <c r="B85" s="8" t="s">
        <v>146</v>
      </c>
      <c r="C85" s="6" t="s">
        <v>147</v>
      </c>
      <c r="D85" s="6" t="str">
        <f>"&lt;(" &amp; A86  &amp;")1 - What happened?" &amp; "__"</f>
        <v>&lt;(85)1 - What happened?__</v>
      </c>
    </row>
    <row r="86" spans="1:9" ht="168" customHeight="1">
      <c r="A86" s="2">
        <v>85</v>
      </c>
      <c r="C86" s="22" t="s">
        <v>148</v>
      </c>
      <c r="D86" s="6" t="str">
        <f>"&lt;(" &amp; A87  &amp;")1 - That wasn't a great idea." &amp; "__"</f>
        <v>&lt;(86)1 - That wasn't a great idea.__</v>
      </c>
      <c r="E86" s="6" t="str">
        <f>"&lt;(" &amp; A88  &amp;")2 - You need to get out. Quick." &amp; "__"</f>
        <v>&lt;(87)2 - You need to get out. Quick.__</v>
      </c>
    </row>
    <row r="87" spans="1:9" ht="168" customHeight="1">
      <c r="A87" s="2">
        <v>86</v>
      </c>
      <c r="C87" s="22" t="s">
        <v>149</v>
      </c>
      <c r="D87" s="6" t="str">
        <f>"&lt;(" &amp; A89  &amp;")1 - Please. Just get out." &amp; "__"</f>
        <v>&lt;(88)1 - Please. Just get out.__</v>
      </c>
    </row>
    <row r="88" spans="1:9" ht="168" customHeight="1">
      <c r="A88" s="2">
        <v>87</v>
      </c>
      <c r="C88" s="22" t="s">
        <v>150</v>
      </c>
      <c r="D88" s="6" t="str">
        <f>"&lt;(" &amp; A89  &amp;")1 - I know there's an exit, just get out, it's not worth it!" &amp; "__"</f>
        <v>&lt;(88)1 - I know there's an exit, just get out, it's not worth it!__</v>
      </c>
    </row>
    <row r="89" spans="1:9" ht="168" customHeight="1">
      <c r="A89" s="2">
        <v>88</v>
      </c>
      <c r="C89" s="6" t="s">
        <v>151</v>
      </c>
      <c r="D89" s="6" t="str">
        <f>"&lt;(" &amp; A90  &amp;")1| - You're such a hassle." &amp; "__"</f>
        <v>&lt;(89)1| - You're such a hassle.__</v>
      </c>
      <c r="E89" s="6" t="str">
        <f>"&lt;(" &amp; A90  &amp;")1@- Please, be safe." &amp; "__"</f>
        <v>&lt;(89)1@- Please, be safe.__</v>
      </c>
    </row>
    <row r="90" spans="1:9" ht="168" customHeight="1">
      <c r="A90" s="2">
        <v>89</v>
      </c>
      <c r="C90" s="6" t="s">
        <v>152</v>
      </c>
      <c r="D90" s="6" t="str">
        <f>"&lt;(" &amp; A91  &amp;")1 - Go left." &amp; "__"</f>
        <v>&lt;(90)1 - Go left.__</v>
      </c>
      <c r="E90" s="6" t="str">
        <f>"&lt;(" &amp; A91  &amp;")1 - Go right." &amp; "__"</f>
        <v>&lt;(90)1 - Go right.__</v>
      </c>
      <c r="F90" s="6" t="str">
        <f>"&lt;(" &amp; A91  &amp;")1 - Go. Back." &amp; "__"</f>
        <v>&lt;(90)1 - Go. Back.__</v>
      </c>
    </row>
    <row r="91" spans="1:9" ht="168" customHeight="1">
      <c r="A91" s="2">
        <v>90</v>
      </c>
      <c r="C91" s="6" t="s">
        <v>153</v>
      </c>
      <c r="D91" s="6" t="str">
        <f>"&lt;(" &amp; A92  &amp;")1 - Have you found your exit?" &amp; "__"</f>
        <v>&lt;(91)1 - Have you found your exit?__</v>
      </c>
    </row>
    <row r="92" spans="1:9" ht="168" customHeight="1">
      <c r="A92" s="2">
        <v>91</v>
      </c>
      <c r="C92" s="6" t="s">
        <v>154</v>
      </c>
      <c r="D92" s="6" t="str">
        <f>"&lt;(" &amp; A93  &amp;")1 - Go back! Now!" &amp; "__"</f>
        <v>&lt;(92)1 - Go back! Now!__</v>
      </c>
      <c r="I92" t="s">
        <v>155</v>
      </c>
    </row>
    <row r="93" spans="1:9" ht="168" customHeight="1">
      <c r="A93" s="2">
        <v>92</v>
      </c>
      <c r="C93" s="22" t="s">
        <v>156</v>
      </c>
      <c r="D93" s="6" t="str">
        <f>"&lt;(" &amp; A96  &amp;")1 - Go left!" &amp; "__"</f>
        <v>&lt;(95)1 - Go left!__</v>
      </c>
      <c r="E93" s="6" t="str">
        <f>"&lt;(" &amp; A96  &amp;")1 - Go right!" &amp; "__"</f>
        <v>&lt;(95)1 - Go right!__</v>
      </c>
      <c r="F93" s="6" t="str">
        <f>"&lt;(" &amp; A94  &amp;")1 - Go forward!" &amp; "__"</f>
        <v>&lt;(93)1 - Go forward!__</v>
      </c>
      <c r="I93" t="s">
        <v>155</v>
      </c>
    </row>
    <row r="94" spans="1:9" ht="168" customHeight="1">
      <c r="A94" s="2">
        <v>93</v>
      </c>
      <c r="C94" s="6" t="s">
        <v>157</v>
      </c>
      <c r="D94" s="6" t="str">
        <f>"&lt;(" &amp; A95  &amp;")1 - Left!" &amp; "__"</f>
        <v>&lt;(94)1 - Left!__</v>
      </c>
      <c r="E94" s="6" t="str">
        <f>"&lt;(" &amp; A96  &amp;")1 - Right!" &amp; "__"</f>
        <v>&lt;(95)1 - Right!__</v>
      </c>
      <c r="F94" s="6" t="str">
        <f>"&lt;(" &amp; A96  &amp;")1 - Forward!" &amp; "__"</f>
        <v>&lt;(95)1 - Forward!__</v>
      </c>
      <c r="I94" t="s">
        <v>155</v>
      </c>
    </row>
    <row r="95" spans="1:9" ht="168" customHeight="1">
      <c r="A95" s="2">
        <v>94</v>
      </c>
      <c r="C95" s="6" t="s">
        <v>158</v>
      </c>
      <c r="D95" s="6" t="str">
        <f>"&lt;(" &amp; A93  &amp;")1 - Left!" &amp; "__"</f>
        <v>&lt;(92)1 - Left!__</v>
      </c>
      <c r="E95" s="6" t="str">
        <f>"&lt;(" &amp; A97  &amp;")1 - Right!" &amp; "__"</f>
        <v>&lt;(96)1 - Right!__</v>
      </c>
      <c r="F95" s="6" t="str">
        <f>"&lt;(" &amp; A96  &amp;")1 - Forward!" &amp; "__"</f>
        <v>&lt;(95)1 - Forward!__</v>
      </c>
      <c r="I95" t="s">
        <v>159</v>
      </c>
    </row>
    <row r="96" spans="1:9" ht="168" customHeight="1">
      <c r="A96" s="26">
        <v>95</v>
      </c>
      <c r="C96" s="6" t="s">
        <v>160</v>
      </c>
    </row>
    <row r="97" spans="1:6" ht="168" customHeight="1">
      <c r="A97" s="2">
        <v>96</v>
      </c>
      <c r="C97" s="6" t="s">
        <v>161</v>
      </c>
      <c r="D97" s="6" t="str">
        <f>"&lt;(" &amp; A98  &amp;")1 - Oh my god, are you alright?" &amp; "__"</f>
        <v>&lt;(97)1 - Oh my god, are you alright?__</v>
      </c>
    </row>
    <row r="98" spans="1:6" ht="168" customHeight="1">
      <c r="A98" s="2">
        <v>97</v>
      </c>
      <c r="B98" s="8" t="s">
        <v>162</v>
      </c>
      <c r="C98" s="22" t="s">
        <v>163</v>
      </c>
      <c r="D98" s="6" t="str">
        <f>"&lt;(" &amp; A102  &amp;")1@ - I'm glad you are.&gt;102" &amp; "__"</f>
        <v>&lt;(101)1@ - I'm glad you are.&gt;102__</v>
      </c>
      <c r="E98" s="6" t="str">
        <f>"&lt;(" &amp; A99  &amp;")1| - Good thing you brought that wrench. Well put to use there." &amp; "__"</f>
        <v>&lt;(98)1| - Good thing you brought that wrench. Well put to use there.__</v>
      </c>
    </row>
    <row r="99" spans="1:6" ht="168" customHeight="1">
      <c r="A99" s="2">
        <v>98</v>
      </c>
      <c r="B99" s="8" t="s">
        <v>164</v>
      </c>
      <c r="C99" s="6" t="s">
        <v>165</v>
      </c>
      <c r="D99" s="6" t="str">
        <f>"&lt;(" &amp; A101  &amp;")1 - Serves you right for being overconfident." &amp; "__"</f>
        <v>&lt;(100)1 - Serves you right for being overconfident.__</v>
      </c>
      <c r="E99" s="6" t="str">
        <f>"&lt;(" &amp; A100  &amp;")1@ - You got the wrong idea! I was talking about the grid!" &amp; "__"</f>
        <v>&lt;(99)1@ - You got the wrong idea! I was talking about the grid!__</v>
      </c>
    </row>
    <row r="100" spans="1:6" ht="168" customHeight="1">
      <c r="A100" s="2">
        <v>99</v>
      </c>
      <c r="B100" s="8" t="s">
        <v>166</v>
      </c>
      <c r="C100" s="6" t="s">
        <v>167</v>
      </c>
      <c r="D100" s="6" t="str">
        <f>"&lt;(" &amp; A104  &amp;")1 - You've been waiting for this." &amp; "__"</f>
        <v>&lt;(103)1 - You've been waiting for this.__</v>
      </c>
    </row>
    <row r="101" spans="1:6" ht="168" customHeight="1">
      <c r="A101" s="2">
        <v>100</v>
      </c>
      <c r="B101" s="8" t="s">
        <v>168</v>
      </c>
      <c r="C101" s="6" t="s">
        <v>169</v>
      </c>
      <c r="D101" s="6" t="str">
        <f>"&lt;(" &amp; A104  &amp;")1 - Bon appétit!" &amp; "__"</f>
        <v>&lt;(103)1 - Bon appétit!__</v>
      </c>
    </row>
    <row r="102" spans="1:6" ht="168" customHeight="1">
      <c r="A102" s="2">
        <v>101</v>
      </c>
      <c r="B102" s="8" t="s">
        <v>170</v>
      </c>
      <c r="C102" s="6" t="s">
        <v>171</v>
      </c>
      <c r="D102" s="6" t="str">
        <f>"&lt;(" &amp; A104  &amp;")1 - Finally, you can eat!" &amp; "__"</f>
        <v>&lt;(103)1 - Finally, you can eat!__</v>
      </c>
    </row>
    <row r="103" spans="1:6" ht="168" customHeight="1">
      <c r="A103" s="2">
        <v>102</v>
      </c>
      <c r="B103" s="8" t="s">
        <v>172</v>
      </c>
      <c r="C103" s="6" t="s">
        <v>173</v>
      </c>
      <c r="D103" s="6" t="str">
        <f>"&lt;(" &amp; A104  &amp;")1 - Food is food." &amp; "__"</f>
        <v>&lt;(103)1 - Food is food.__</v>
      </c>
    </row>
    <row r="104" spans="1:6" ht="168" customHeight="1">
      <c r="A104" s="2">
        <v>103</v>
      </c>
      <c r="B104" s="8" t="s">
        <v>174</v>
      </c>
      <c r="C104" s="22" t="s">
        <v>175</v>
      </c>
      <c r="D104" s="6" t="str">
        <f>"&lt;(" &amp; A105  &amp;")1 - Are you done?" &amp; "__"</f>
        <v>&lt;(104)1 - Are you done?__</v>
      </c>
    </row>
    <row r="105" spans="1:6" ht="168" customHeight="1">
      <c r="A105" s="2">
        <v>104</v>
      </c>
      <c r="C105" s="6" t="s">
        <v>176</v>
      </c>
      <c r="D105" s="6" t="str">
        <f>"&lt;(" &amp; A106  &amp;")1 - Be careful." &amp; "__"</f>
        <v>&lt;(105)1 - Be careful.__</v>
      </c>
    </row>
    <row r="106" spans="1:6" ht="168" customHeight="1">
      <c r="A106" s="2">
        <v>105</v>
      </c>
      <c r="B106" s="8" t="s">
        <v>177</v>
      </c>
      <c r="C106" s="22" t="s">
        <v>178</v>
      </c>
      <c r="D106" s="6" t="str">
        <f>"&lt;(" &amp; A109  &amp;")1 - Wait." &amp; "__"</f>
        <v>&lt;(108)1 - Wait.__</v>
      </c>
      <c r="E106" s="6" t="str">
        <f>"&lt;(" &amp; A107  &amp;")2 - Go for the exit." &amp; "__"</f>
        <v>&lt;(106)2 - Go for the exit.__</v>
      </c>
    </row>
    <row r="107" spans="1:6" ht="168" customHeight="1">
      <c r="A107" s="2">
        <v>106</v>
      </c>
      <c r="B107" s="8" t="s">
        <v>179</v>
      </c>
      <c r="C107" s="24" t="s">
        <v>180</v>
      </c>
      <c r="D107" s="6" t="str">
        <f>"&lt;(" &amp; A109  &amp;")1 - On second thought. Stop." &amp; "__"</f>
        <v>&lt;(108)1 - On second thought. Stop.__</v>
      </c>
      <c r="E107" s="6" t="str">
        <f>"&lt;(" &amp; A108  &amp;")2 - You need to get out. The fuse is this way." &amp; "__"</f>
        <v>&lt;(107)2 - You need to get out. The fuse is this way.__</v>
      </c>
    </row>
    <row r="108" spans="1:6" ht="168" customHeight="1">
      <c r="A108" s="2">
        <v>107</v>
      </c>
      <c r="B108" s="8" t="s">
        <v>181</v>
      </c>
      <c r="C108" s="24" t="s">
        <v>182</v>
      </c>
      <c r="D108" s="6" t="str">
        <f>"&lt;(" &amp; A132  &amp;")1 - Let's go!" &amp; "__"</f>
        <v>&lt;(131)1 - Let's go!__</v>
      </c>
    </row>
    <row r="109" spans="1:6" ht="168" customHeight="1">
      <c r="A109" s="2">
        <v>108</v>
      </c>
      <c r="B109" s="8" t="s">
        <v>183</v>
      </c>
      <c r="C109" s="22" t="s">
        <v>184</v>
      </c>
      <c r="D109" s="6" t="str">
        <f>"&lt;(" &amp; A110 &amp;")1| - The fuse is a trap." &amp; "__"</f>
        <v>&lt;(109)1| - The fuse is a trap.__</v>
      </c>
      <c r="E109" s="6" t="str">
        <f>"&lt;(" &amp; A111  &amp;")2 - The thing's in that room." &amp; "__"</f>
        <v>&lt;(110)2 - The thing's in that room.__</v>
      </c>
      <c r="F109" s="6" t="str">
        <f>"&lt;(" &amp; A112  &amp;")2| - Go where the water is the deepest." &amp; "__"</f>
        <v>&lt;(111)2| - Go where the water is the deepest.__</v>
      </c>
    </row>
    <row r="110" spans="1:6" ht="168" customHeight="1">
      <c r="A110" s="2">
        <v>109</v>
      </c>
      <c r="B110" s="8" t="s">
        <v>185</v>
      </c>
      <c r="C110" s="22" t="s">
        <v>186</v>
      </c>
      <c r="D110" s="6" t="str">
        <f>"&lt;(" &amp; A113  &amp;")1| - But the person on the phone is there!" &amp; "__"</f>
        <v>&lt;(112)1| - But the person on the phone is there!__</v>
      </c>
      <c r="E110" s="6" t="str">
        <f>"&lt;(" &amp; A113  &amp;")2|- Hope you can hold your breath." &amp; "__"</f>
        <v>&lt;(112)2|- Hope you can hold your breath.__</v>
      </c>
      <c r="F110" s="6" t="str">
        <f>"&lt;(" &amp; A113  &amp;")3 - The trapdoor won't lead you to the outside world." &amp; "__"</f>
        <v>&lt;(112)3 - The trapdoor won't lead you to the outside world.__</v>
      </c>
    </row>
    <row r="111" spans="1:6" ht="168" customHeight="1">
      <c r="A111" s="2">
        <v>110</v>
      </c>
      <c r="B111" s="8" t="s">
        <v>187</v>
      </c>
      <c r="C111" s="22" t="s">
        <v>188</v>
      </c>
      <c r="D111" s="6" t="str">
        <f>"&lt;(" &amp; A113  &amp;")1 - My 'friend' is here to help you. Together you can escape." &amp; "__"</f>
        <v>&lt;(112)1 - My 'friend' is here to help you. Together you can escape.__</v>
      </c>
      <c r="E111" s="6" t="str">
        <f>"&lt;(" &amp; A113  &amp;")2| - You'd get killed, you need to take a secret path." &amp; "__"</f>
        <v>&lt;(112)2| - You'd get killed, you need to take a secret path.__</v>
      </c>
      <c r="F111" s="6" t="str">
        <f>"&lt;(" &amp; A113  &amp;")3 - You aren't the first. They were once like you." &amp; "__"</f>
        <v>&lt;(112)3 - You aren't the first. They were once like you.__</v>
      </c>
    </row>
    <row r="112" spans="1:6" ht="168" customHeight="1">
      <c r="A112" s="2">
        <v>111</v>
      </c>
      <c r="B112" s="8" t="s">
        <v>189</v>
      </c>
      <c r="C112" s="22" t="s">
        <v>190</v>
      </c>
      <c r="D112" s="6" t="str">
        <f>"&lt;(" &amp; A113  &amp;")1| - Our ally is in a secure room, they'll help!" &amp; "__"</f>
        <v>&lt;(112)1| - Our ally is in a secure room, they'll help!__</v>
      </c>
      <c r="E112" s="6" t="str">
        <f>"&lt;(" &amp; A113  &amp;")2| - The fuse isn't there, the truth's under the water." &amp; "__"</f>
        <v>&lt;(112)2| - The fuse isn't there, the truth's under the water.__</v>
      </c>
      <c r="F112" s="6" t="str">
        <f>"&lt;(" &amp; A113  &amp;")3 - We must learn the truth to prevent this from happening again." &amp; "__"</f>
        <v>&lt;(112)3 - We must learn the truth to prevent this from happening again.__</v>
      </c>
    </row>
    <row r="113" spans="1:6" ht="168" customHeight="1">
      <c r="A113" s="2">
        <v>112</v>
      </c>
      <c r="B113" s="8" t="s">
        <v>191</v>
      </c>
      <c r="C113" s="6" t="s">
        <v>192</v>
      </c>
      <c r="D113" s="6" t="str">
        <f>"&lt;(" &amp; A114  &amp;")1 - Please, listen to me.&gt;130" &amp; "__"</f>
        <v>&lt;(113)1 - Please, listen to me.&gt;130__</v>
      </c>
      <c r="F113"/>
    </row>
    <row r="114" spans="1:6" ht="168" customHeight="1">
      <c r="A114" s="2">
        <v>113</v>
      </c>
      <c r="B114" s="8" t="s">
        <v>193</v>
      </c>
      <c r="C114" s="6" t="s">
        <v>194</v>
      </c>
      <c r="D114" s="6" t="str">
        <f>"&lt;(" &amp; A115  &amp;")1 - The person on the line can help you, they’ve been of great to me as well." &amp; "__"</f>
        <v>&lt;(114)1 - The person on the line can help you, they’ve been of great to me as well.__</v>
      </c>
    </row>
    <row r="115" spans="1:6" ht="168" customHeight="1">
      <c r="A115" s="2">
        <v>114</v>
      </c>
      <c r="C115" s="6" t="s">
        <v>195</v>
      </c>
      <c r="D115" s="6" t="str">
        <f>"&lt;(" &amp; A116  &amp;")1 - The wall has a hole in it, beneath the water. Swim until you reach the other side." &amp; "__"</f>
        <v>&lt;(115)1 - The wall has a hole in it, beneath the water. Swim until you reach the other side.__</v>
      </c>
    </row>
    <row r="116" spans="1:6" ht="168" customHeight="1">
      <c r="A116" s="2">
        <v>115</v>
      </c>
      <c r="C116" s="6" t="s">
        <v>196</v>
      </c>
      <c r="D116" s="6" t="str">
        <f>"&lt;(" &amp; A117  &amp;")1 - Once in the cave, swim forward, until you feel a pipe. " &amp; "__"</f>
        <v>&lt;(116)1 - Once in the cave, swim forward, until you feel a pipe. __</v>
      </c>
    </row>
    <row r="117" spans="1:6" ht="168" customHeight="1">
      <c r="A117" s="2">
        <v>116</v>
      </c>
      <c r="C117" s="6" t="s">
        <v>197</v>
      </c>
      <c r="D117" s="6" t="str">
        <f>"&lt;(" &amp; A118  &amp;")1 - When you feel the metal of the pipe, go inside." &amp; "__"</f>
        <v>&lt;(117)1 - When you feel the metal of the pipe, go inside.__</v>
      </c>
    </row>
    <row r="118" spans="1:6" ht="168" customHeight="1">
      <c r="A118" s="2">
        <v>117</v>
      </c>
      <c r="C118" s="6" t="s">
        <v>198</v>
      </c>
      <c r="D118" s="6" t="str">
        <f>"&lt;(" &amp; A119  &amp;")1 - Plastic, I mean. Then reach up, they will help you get through the grid." &amp; "__"</f>
        <v>&lt;(118)1 - Plastic, I mean. Then reach up, they will help you get through the grid.__</v>
      </c>
    </row>
    <row r="119" spans="1:6" ht="168" customHeight="1">
      <c r="A119" s="2">
        <v>118</v>
      </c>
      <c r="C119" s="6" t="s">
        <v>199</v>
      </c>
      <c r="D119" s="6" t="str">
        <f>"&lt;(" &amp; A120  &amp;")1 - I believe in you, go quick, before the rooms move again." &amp; "__"</f>
        <v>&lt;(119)1 - I believe in you, go quick, before the rooms move again.__</v>
      </c>
    </row>
    <row r="120" spans="1:6" ht="168" customHeight="1">
      <c r="A120" s="2">
        <v>119</v>
      </c>
      <c r="C120" s="6" t="s">
        <v>200</v>
      </c>
      <c r="D120" s="6" t="str">
        <f>"&lt;(" &amp; A121  &amp;")1 - Wait is this phone even water proof?" &amp; "__"</f>
        <v>&lt;(120)1 - Wait is this phone even water proof?__</v>
      </c>
    </row>
    <row r="121" spans="1:6" ht="168" customHeight="1">
      <c r="A121" s="2">
        <v>120</v>
      </c>
      <c r="C121" s="6" t="s">
        <v>201</v>
      </c>
      <c r="D121" s="6" t="str">
        <f>"&lt;(" &amp; A122  &amp;")1 - Are you alright?" &amp; "__"</f>
        <v>&lt;(121)1 - Are you alright?__</v>
      </c>
    </row>
    <row r="122" spans="1:6" ht="168" customHeight="1">
      <c r="A122" s="2">
        <v>121</v>
      </c>
      <c r="C122" s="6" t="s">
        <v>202</v>
      </c>
      <c r="D122" s="6" t="str">
        <f>"&lt;(" &amp; A123  &amp;")1 - Me?" &amp; "__"</f>
        <v>&lt;(122)1 - Me?__</v>
      </c>
    </row>
    <row r="123" spans="1:6" ht="168" customHeight="1">
      <c r="A123" s="2">
        <v>122</v>
      </c>
      <c r="C123" s="6" t="s">
        <v>203</v>
      </c>
      <c r="D123" s="6" t="str">
        <f>"&lt;(" &amp; A124  &amp;")1 - I’m as lost as you! What does any of that mean?" &amp; "__"</f>
        <v>&lt;(123)1 - I’m as lost as you! What does any of that mean?__</v>
      </c>
    </row>
    <row r="124" spans="1:6" ht="168" customHeight="1">
      <c r="A124" s="2">
        <v>123</v>
      </c>
      <c r="C124" s="6" t="s">
        <v>204</v>
      </c>
      <c r="D124" s="6" t="str">
        <f>"&lt;(" &amp; A125  &amp;")1 - I didn’t know anything about that!" &amp; "__"</f>
        <v>&lt;(124)1 - I didn’t know anything about that!__</v>
      </c>
      <c r="E124" s="6" t="str">
        <f>"&lt;(" &amp; A125  &amp;")1 - This surely is a dream..." &amp; "__"</f>
        <v>&lt;(124)1 - This surely is a dream...__</v>
      </c>
    </row>
    <row r="125" spans="1:6" ht="168" customHeight="1">
      <c r="A125" s="2">
        <v>124</v>
      </c>
      <c r="C125" s="6" t="s">
        <v>205</v>
      </c>
      <c r="D125" s="6" t="str">
        <f>"&lt;(" &amp; A126  &amp;")1 - That's insanity! How are you going to stop this scientist?" &amp; "__"</f>
        <v>&lt;(125)1 - That's insanity! How are you going to stop this scientist?__</v>
      </c>
    </row>
    <row r="126" spans="1:6" ht="168" customHeight="1">
      <c r="A126" s="2">
        <v>125</v>
      </c>
      <c r="C126" s="6" t="s">
        <v>206</v>
      </c>
      <c r="D126" s="6" t="str">
        <f>"&lt;(" &amp; A127  &amp;")1 - Which is?" &amp; "__"</f>
        <v>&lt;(126)1 - Which is?__</v>
      </c>
    </row>
    <row r="127" spans="1:6" ht="168" customHeight="1">
      <c r="A127" s="2">
        <v>126</v>
      </c>
      <c r="C127" s="6" t="s">
        <v>207</v>
      </c>
      <c r="D127" s="6" t="str">
        <f>"&lt;(" &amp; A128  &amp;")1 - Wait! How will I know you’ll be safe?" &amp; "__"</f>
        <v>&lt;(127)1 - Wait! How will I know you’ll be safe?__</v>
      </c>
    </row>
    <row r="128" spans="1:6" ht="168" customHeight="1">
      <c r="A128" s="2">
        <v>127</v>
      </c>
      <c r="C128" s="6" t="s">
        <v>208</v>
      </c>
      <c r="D128" s="6" t="str">
        <f>"&lt;(" &amp; A129  &amp;")1 - We have the same memories?!" &amp; "__"</f>
        <v>&lt;(128)1 - We have the same memories?!__</v>
      </c>
      <c r="E128" s="6" t="str">
        <f>"&lt;(" &amp; A129  &amp;")1 - Is there another way to contact you?" &amp; "__"</f>
        <v>&lt;(128)1 - Is there another way to contact you?__</v>
      </c>
    </row>
    <row r="129" spans="1:6" ht="168" customHeight="1">
      <c r="A129" s="2">
        <v>128</v>
      </c>
      <c r="C129" s="6" t="s">
        <v>209</v>
      </c>
      <c r="D129" s="6" t="str">
        <f>"&lt;(" &amp; A130  &amp;")1 - ...Did they just throw me like garbage?" &amp; "__"</f>
        <v>&lt;(129)1 - ...Did they just throw me like garbage?__</v>
      </c>
      <c r="E129" s="6" t="str">
        <f>"&lt;(" &amp; A130  &amp;")1 - I guess it’s for the best." &amp; "__"</f>
        <v>&lt;(129)1 - I guess it’s for the best.__</v>
      </c>
      <c r="F129" s="6" t="str">
        <f>"&lt;(" &amp; A130  &amp;")1 - NOOOO COME BACK!" &amp; "__"</f>
        <v>&lt;(129)1 - NOOOO COME BACK!__</v>
      </c>
    </row>
    <row r="130" spans="1:6" ht="168" customHeight="1">
      <c r="A130" s="2">
        <v>129</v>
      </c>
      <c r="C130" s="6" t="s">
        <v>210</v>
      </c>
    </row>
    <row r="131" spans="1:6" ht="168" customHeight="1">
      <c r="A131" s="2">
        <v>130</v>
      </c>
      <c r="B131" s="8" t="s">
        <v>211</v>
      </c>
      <c r="C131" s="6" t="s">
        <v>212</v>
      </c>
      <c r="D131" s="6" t="str">
        <f>"&lt;(" &amp; A132  &amp;")1 - Do not tell I haven't warned you." &amp; "__"</f>
        <v>&lt;(131)1 - Do not tell I haven't warned you.__</v>
      </c>
    </row>
    <row r="132" spans="1:6" ht="168" customHeight="1">
      <c r="A132" s="2">
        <v>131</v>
      </c>
      <c r="B132" s="8" t="s">
        <v>213</v>
      </c>
      <c r="C132" s="22" t="s">
        <v>214</v>
      </c>
      <c r="D132" s="6" t="str">
        <f>"&lt;(" &amp; A133  &amp;")1 - Watch out! Above you!" &amp; "__"</f>
        <v>&lt;(132)1 - Watch out! Above you!__</v>
      </c>
    </row>
    <row r="133" spans="1:6" ht="168" customHeight="1">
      <c r="A133" s="2">
        <v>132</v>
      </c>
      <c r="C133" s="22" t="s">
        <v>215</v>
      </c>
      <c r="D133" s="6" t="str">
        <f>"&lt;(" &amp; A142  &amp;")1 - ...Fuse? Keep hiding, we're working something out!;133" &amp; "__"</f>
        <v>&lt;(141)1 - ...Fuse? Keep hiding, we're working something out!;133__</v>
      </c>
    </row>
    <row r="134" spans="1:6" ht="168" customHeight="1">
      <c r="A134" s="2">
        <v>133</v>
      </c>
      <c r="C134" s="6" t="s">
        <v>216</v>
      </c>
      <c r="D134" s="6" t="str">
        <f>"&lt;(" &amp; A135  &amp;")1 - DON'T THINK, RUN" &amp; "__"</f>
        <v>&lt;(134)1 - DON'T THINK, RUN__</v>
      </c>
    </row>
    <row r="135" spans="1:6" ht="168" customHeight="1">
      <c r="A135" s="2">
        <v>134</v>
      </c>
      <c r="C135" s="6" t="s">
        <v>217</v>
      </c>
      <c r="D135" s="6" t="str">
        <f>"&lt;(" &amp; A136  &amp;")1 - DON'T GRAB THE FUSE DUMBASS, RUN!" &amp; "__"</f>
        <v>&lt;(135)1 - DON'T GRAB THE FUSE DUMBASS, RUN!__</v>
      </c>
      <c r="E135" s="6" t="str">
        <f>"&lt;(" &amp; A136  &amp;")1 - GRAB IT FAST!" &amp; "__"</f>
        <v>&lt;(135)1 - GRAB IT FAST!__</v>
      </c>
    </row>
    <row r="136" spans="1:6" ht="168" customHeight="1">
      <c r="A136" s="2">
        <v>135</v>
      </c>
      <c r="C136" s="6" t="s">
        <v>218</v>
      </c>
      <c r="D136" s="6" t="str">
        <f>"&lt;(" &amp; A137  &amp;")1 - NO!" &amp; "__"</f>
        <v>&lt;(136)1 - NO!__</v>
      </c>
    </row>
    <row r="137" spans="1:6" ht="168" customHeight="1">
      <c r="A137" s="2">
        <v>136</v>
      </c>
      <c r="C137" s="6" t="s">
        <v>219</v>
      </c>
    </row>
    <row r="138" spans="1:6" ht="168" customHeight="1">
      <c r="A138" s="26">
        <v>137</v>
      </c>
      <c r="B138" s="8" t="s">
        <v>220</v>
      </c>
      <c r="C138" s="6" t="s">
        <v>221</v>
      </c>
    </row>
    <row r="139" spans="1:6" ht="168" customHeight="1">
      <c r="A139" s="2">
        <v>138</v>
      </c>
      <c r="B139" s="8" t="s">
        <v>222</v>
      </c>
      <c r="C139" s="6" t="s">
        <v>223</v>
      </c>
      <c r="D139" s="6" t="str">
        <f>"&lt;(" &amp; A141  &amp;")1 - Oh shit! Are you alright?" &amp; "__"</f>
        <v>&lt;(140)1 - Oh shit! Are you alright?__</v>
      </c>
      <c r="E139" s="6" t="str">
        <f>"&lt;(" &amp; A140  &amp;")1| - Well fuck, it was electrified." &amp; "__"</f>
        <v>&lt;(139)1| - Well fuck, it was electrified.__</v>
      </c>
    </row>
    <row r="140" spans="1:6" ht="168" customHeight="1">
      <c r="A140" s="2">
        <v>139</v>
      </c>
      <c r="B140" s="8" t="s">
        <v>224</v>
      </c>
      <c r="C140" s="6" t="s">
        <v>225</v>
      </c>
      <c r="D140" s="6" t="str">
        <f>"&lt;(" &amp; A138  &amp;")1 - Funny." &amp; "__"</f>
        <v>&lt;(137)1 - Funny.__</v>
      </c>
      <c r="E140" s="6" t="str">
        <f>"&lt;(" &amp; A141  &amp;")1 - I'm so sorry!" &amp; "__"</f>
        <v>&lt;(140)1 - I'm so sorry!__</v>
      </c>
    </row>
    <row r="141" spans="1:6" ht="168" customHeight="1">
      <c r="A141" s="2">
        <v>140</v>
      </c>
      <c r="B141" s="8" t="s">
        <v>226</v>
      </c>
      <c r="C141" s="6" t="s">
        <v>227</v>
      </c>
      <c r="D141" s="6" t="str">
        <f>"&lt;(" &amp; A17  &amp;")1 - Yeah, let's find a backdoor." &amp; "__"</f>
        <v>&lt;(16)1 - Yeah, let's find a backdoor.__</v>
      </c>
    </row>
    <row r="142" spans="1:6" ht="168" customHeight="1">
      <c r="A142" s="2">
        <v>141</v>
      </c>
      <c r="B142" s="8" t="s">
        <v>228</v>
      </c>
      <c r="C142" s="22" t="s">
        <v>229</v>
      </c>
      <c r="D142" s="6" t="str">
        <f>"&lt;(" &amp; A142  &amp;")1 - What happened?!" &amp; "__"</f>
        <v>&lt;(141)1 - What happened?!__</v>
      </c>
    </row>
    <row r="143" spans="1:6" ht="168" customHeight="1">
      <c r="A143" s="2">
        <v>142</v>
      </c>
      <c r="C143" s="22" t="s">
        <v>230</v>
      </c>
      <c r="D143" s="6" t="str">
        <f>"&lt;(" &amp; A19  &amp;")1 - Just grab the fuse and leave!" &amp; "__"</f>
        <v>&lt;(18)1 - Just grab the fuse and leave!__</v>
      </c>
    </row>
    <row r="144" spans="1:6" ht="168" customHeight="1">
      <c r="A144" s="2">
        <v>143</v>
      </c>
      <c r="C144" s="22" t="s">
        <v>231</v>
      </c>
      <c r="D144" s="6" t="str">
        <f>"&lt;(" &amp; A145  &amp;")1 - Quit yapping and go back to the trapdoor, quick!" &amp; "__"</f>
        <v>&lt;(144)1 - Quit yapping and go back to the trapdoor, quick!__</v>
      </c>
    </row>
    <row r="145" spans="1:5" ht="168" customHeight="1">
      <c r="A145" s="2">
        <v>144</v>
      </c>
      <c r="C145" s="22" t="s">
        <v>232</v>
      </c>
      <c r="D145" s="6" t="str">
        <f>"&lt;(" &amp; A146  &amp;")1 - Are you... alright?" &amp; "__"</f>
        <v>&lt;(145)1 - Are you... alright?__</v>
      </c>
      <c r="E145" s="24"/>
    </row>
    <row r="146" spans="1:5" ht="168" customHeight="1">
      <c r="A146" s="2">
        <v>145</v>
      </c>
      <c r="C146" s="22" t="s">
        <v>233</v>
      </c>
      <c r="D146" s="6" t="str">
        <f>"&lt;(" &amp; A147  &amp;")1 - What are you doing?" &amp; "__"</f>
        <v>&lt;(146)1 - What are you doing?__</v>
      </c>
    </row>
    <row r="147" spans="1:5" ht="168" customHeight="1">
      <c r="A147" s="2">
        <v>146</v>
      </c>
      <c r="C147" s="6" t="s">
        <v>234</v>
      </c>
      <c r="D147" s="6" t="s">
        <v>235</v>
      </c>
    </row>
    <row r="148" spans="1:5" ht="168" customHeight="1">
      <c r="A148" s="2">
        <v>147</v>
      </c>
      <c r="C148" s="6" t="s">
        <v>236</v>
      </c>
      <c r="D148" s="6" t="s">
        <v>237</v>
      </c>
      <c r="E148" s="6" t="s">
        <v>238</v>
      </c>
    </row>
    <row r="149" spans="1:5" ht="168" customHeight="1">
      <c r="A149" s="2">
        <v>148</v>
      </c>
      <c r="C149" s="6" t="s">
        <v>239</v>
      </c>
      <c r="D149" s="6" t="s">
        <v>240</v>
      </c>
    </row>
    <row r="150" spans="1:5" ht="168" customHeight="1">
      <c r="A150" s="2">
        <v>149</v>
      </c>
      <c r="C150" s="6" t="s">
        <v>241</v>
      </c>
      <c r="D150" s="6" t="s">
        <v>242</v>
      </c>
    </row>
    <row r="151" spans="1:5" ht="168" customHeight="1">
      <c r="A151" s="2">
        <v>150</v>
      </c>
      <c r="C151" s="6" t="s">
        <v>243</v>
      </c>
    </row>
    <row r="152" spans="1:5" ht="168" customHeight="1">
      <c r="C152" s="6"/>
    </row>
    <row r="153" spans="1:5" ht="168" customHeight="1">
      <c r="C153" s="6"/>
    </row>
    <row r="154" spans="1:5" ht="168" customHeight="1">
      <c r="C154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Loïc VAREILLES</cp:lastModifiedBy>
  <cp:revision/>
  <dcterms:created xsi:type="dcterms:W3CDTF">2023-11-08T13:15:22Z</dcterms:created>
  <dcterms:modified xsi:type="dcterms:W3CDTF">2023-12-22T20:20:44Z</dcterms:modified>
  <cp:category/>
  <cp:contentStatus/>
</cp:coreProperties>
</file>