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xymis-my.sharepoint.com/personal/b_perrin6_stu-bellecour_fr/Documents/Signal Lost/Project Documentation/"/>
    </mc:Choice>
  </mc:AlternateContent>
  <xr:revisionPtr revIDLastSave="1806" documentId="6_{44740759-587A-480E-8E44-FD34939DF522}" xr6:coauthVersionLast="47" xr6:coauthVersionMax="47" xr10:uidLastSave="{4033727E-3435-4859-84D2-46A317955527}"/>
  <bookViews>
    <workbookView xWindow="-120" yWindow="-120" windowWidth="29040" windowHeight="1584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1" l="1"/>
  <c r="D40" i="1"/>
  <c r="D32" i="1"/>
  <c r="D49" i="1"/>
  <c r="D51" i="1"/>
  <c r="E51" i="1"/>
  <c r="D55" i="1"/>
  <c r="D54" i="1"/>
  <c r="E53" i="1"/>
  <c r="D56" i="1"/>
  <c r="F78" i="1"/>
  <c r="E78" i="1"/>
  <c r="E83" i="1"/>
  <c r="D83" i="1"/>
  <c r="E81" i="1"/>
  <c r="D81" i="1"/>
  <c r="D80" i="1"/>
  <c r="E79" i="1"/>
  <c r="D79" i="1"/>
  <c r="D74" i="1"/>
  <c r="D76" i="1"/>
  <c r="F82" i="1"/>
  <c r="E82" i="1"/>
  <c r="D82" i="1"/>
  <c r="F72" i="1"/>
  <c r="E73" i="1"/>
  <c r="D73" i="1"/>
  <c r="D72" i="1"/>
  <c r="E121" i="1"/>
  <c r="E120" i="1"/>
  <c r="F119" i="1"/>
  <c r="E119" i="1"/>
  <c r="E107" i="1"/>
  <c r="F105" i="1"/>
  <c r="E105" i="1"/>
  <c r="E104" i="1"/>
  <c r="E97" i="1"/>
  <c r="E96" i="1"/>
  <c r="G95" i="1"/>
  <c r="G94" i="1"/>
  <c r="G93" i="1"/>
  <c r="F93" i="1"/>
  <c r="F94" i="1"/>
  <c r="F95" i="1"/>
  <c r="E95" i="1"/>
  <c r="E94" i="1"/>
  <c r="E93" i="1"/>
  <c r="E91" i="1"/>
  <c r="E89" i="1"/>
  <c r="E88" i="1"/>
  <c r="E87" i="1"/>
  <c r="F86" i="1"/>
  <c r="E86" i="1"/>
  <c r="D86" i="1"/>
  <c r="D89" i="1"/>
  <c r="D99" i="1"/>
  <c r="D98" i="1"/>
  <c r="D97" i="1"/>
  <c r="D96" i="1"/>
  <c r="D94" i="1"/>
  <c r="D95" i="1"/>
  <c r="D101" i="1"/>
  <c r="D102" i="1"/>
  <c r="D104" i="1"/>
  <c r="D105" i="1"/>
  <c r="D114" i="1"/>
  <c r="D110" i="1"/>
  <c r="D111" i="1"/>
  <c r="D122" i="1"/>
  <c r="D123" i="1"/>
  <c r="D119" i="1"/>
  <c r="D121" i="1"/>
  <c r="D93" i="1"/>
  <c r="D90" i="1"/>
  <c r="D85" i="1"/>
  <c r="D77" i="1"/>
  <c r="D71" i="1"/>
  <c r="D70" i="1"/>
  <c r="F66" i="1"/>
  <c r="E66" i="1"/>
  <c r="D61" i="1"/>
  <c r="E61" i="1"/>
  <c r="F62" i="1"/>
  <c r="E62" i="1"/>
  <c r="F63" i="1"/>
  <c r="D63" i="1"/>
  <c r="D65" i="1"/>
  <c r="E65" i="1"/>
  <c r="F64" i="1"/>
  <c r="E64" i="1"/>
  <c r="F65" i="1"/>
  <c r="D62" i="1"/>
  <c r="E63" i="1"/>
  <c r="D64" i="1"/>
  <c r="F61" i="1"/>
  <c r="F60" i="1"/>
  <c r="E60" i="1"/>
  <c r="D58" i="1"/>
  <c r="D57" i="1"/>
  <c r="D50" i="1"/>
  <c r="E49" i="1"/>
  <c r="D47" i="1"/>
  <c r="D46" i="1"/>
  <c r="D44" i="1"/>
  <c r="D42" i="1"/>
  <c r="E39" i="1"/>
  <c r="F39" i="1"/>
  <c r="D39" i="1"/>
  <c r="D35" i="1"/>
  <c r="D34" i="1"/>
  <c r="F33" i="1"/>
  <c r="E27" i="1"/>
  <c r="G27" i="1"/>
  <c r="F27" i="1"/>
  <c r="G22" i="1"/>
  <c r="E22" i="1"/>
  <c r="D22" i="1"/>
  <c r="G23" i="1"/>
  <c r="F23" i="1"/>
  <c r="E23" i="1"/>
  <c r="D23" i="1"/>
  <c r="E24" i="1"/>
  <c r="D24" i="1"/>
  <c r="F24" i="1"/>
  <c r="G24" i="1"/>
  <c r="F22" i="1"/>
  <c r="D16" i="1"/>
  <c r="D15" i="1"/>
  <c r="D13" i="1"/>
  <c r="D14" i="1"/>
  <c r="D12" i="1"/>
  <c r="D11" i="1"/>
  <c r="D8" i="1"/>
  <c r="D9" i="1"/>
  <c r="D2" i="1"/>
  <c r="D134" i="1"/>
  <c r="D133" i="1"/>
  <c r="D132" i="1"/>
  <c r="D131" i="1"/>
  <c r="D129" i="1"/>
  <c r="D128" i="1"/>
  <c r="D126" i="1"/>
  <c r="D125" i="1"/>
  <c r="D124" i="1"/>
  <c r="D120" i="1"/>
  <c r="D118" i="1"/>
  <c r="D117" i="1"/>
  <c r="E116" i="1"/>
  <c r="D116" i="1"/>
  <c r="D115" i="1"/>
  <c r="E113" i="1"/>
  <c r="D113" i="1"/>
  <c r="D106" i="1"/>
  <c r="D109" i="1"/>
  <c r="D112" i="1"/>
  <c r="D108" i="1"/>
  <c r="D107" i="1"/>
  <c r="D103" i="1"/>
  <c r="E18" i="1"/>
  <c r="D18" i="1"/>
  <c r="D92" i="1"/>
  <c r="D91" i="1"/>
  <c r="D88" i="1"/>
  <c r="D87" i="1"/>
  <c r="D75" i="1"/>
  <c r="E10" i="1"/>
  <c r="D6" i="1"/>
  <c r="E6" i="1"/>
  <c r="D78" i="1"/>
  <c r="D66" i="1"/>
  <c r="E72" i="1"/>
  <c r="D69" i="1"/>
  <c r="D68" i="1"/>
  <c r="D67" i="1"/>
  <c r="D60" i="1"/>
  <c r="D59" i="1"/>
  <c r="E45" i="1"/>
  <c r="F45" i="1"/>
  <c r="D45" i="1"/>
  <c r="D43" i="1"/>
  <c r="E43" i="1"/>
  <c r="F43" i="1"/>
  <c r="D38" i="1"/>
  <c r="D37" i="1"/>
  <c r="D36" i="1"/>
  <c r="E33" i="1"/>
  <c r="D33" i="1"/>
  <c r="D30" i="1"/>
  <c r="D31" i="1"/>
  <c r="E31" i="1"/>
  <c r="E29" i="1"/>
  <c r="D29" i="1"/>
  <c r="D28" i="1"/>
  <c r="D27" i="1"/>
  <c r="D26" i="1"/>
  <c r="D25" i="1"/>
  <c r="D19" i="1"/>
  <c r="E20" i="1"/>
  <c r="D20" i="1"/>
  <c r="D21" i="1"/>
  <c r="D17" i="1"/>
  <c r="F10" i="1"/>
  <c r="D10" i="1"/>
  <c r="E5" i="1"/>
  <c r="D7" i="1"/>
  <c r="D5" i="1"/>
  <c r="E7" i="1"/>
  <c r="D4" i="1"/>
  <c r="D3" i="1"/>
  <c r="F5" i="1"/>
  <c r="E3" i="1"/>
  <c r="F3" i="1"/>
</calcChain>
</file>

<file path=xl/sharedStrings.xml><?xml version="1.0" encoding="utf-8"?>
<sst xmlns="http://schemas.openxmlformats.org/spreadsheetml/2006/main" count="164" uniqueCount="164">
  <si>
    <t>SCENE NUMBER</t>
  </si>
  <si>
    <t>SCENE NAME</t>
  </si>
  <si>
    <t>TEXT SCENE</t>
  </si>
  <si>
    <t>TEXT CHOICE 1</t>
  </si>
  <si>
    <t>TEXT CHOICE 2</t>
  </si>
  <si>
    <t>TEXT CHOICE 3</t>
  </si>
  <si>
    <t>TEXT CHOICE 4</t>
  </si>
  <si>
    <t>TEXT CHOICE 5</t>
  </si>
  <si>
    <t>HAS TIMER ?</t>
  </si>
  <si>
    <t>IS INFLUENCED BY TRUST ?</t>
  </si>
  <si>
    <t>Go into the zoo</t>
  </si>
  <si>
    <t>I guess I can go to the zoo, yeah.+__
I don't see how going in any of these locations could help me escape this island+__
So whatever you'll choose might be the best.+__</t>
  </si>
  <si>
    <t>It might take a few minutes before I get to the entrance of the zoo, so let's small talk a bit while we're here!+__
...+__
...+Uhm...+ Yeah...+ I'm kinda sorry for the position I put you in with this call and everything+__
but it seems-+ ...I didn't have that many choices.+__</t>
  </si>
  <si>
    <t>T-Thanks...+__
It's good to know I can rely on you,+ especially in the kind of situation I'm in. So th-+ Thanks, I guess...+__</t>
  </si>
  <si>
    <t>...+You're right...+__
...+It's pure madness.+ The more I think about it,+ the more fucked up it gets.+__
Why is this happening to me?+ Why did it call you?+ Why is everything set up as if it was on purpose?+__
Where the fuck am I?...+ WHY IS NO ONE HERE TO ANSWER MY DAMN QUESTIONS?!+__
*echoes fade in the distance*+__</t>
  </si>
  <si>
    <t>Are you still not believing m-...+__
UGH!+ You know what?+ It doesn't matter if you're not believing any of this.+__
I just want you to stay with me since this place is filled with puzzles I could not solve alone.+__
Sounds okay with you?+__</t>
  </si>
  <si>
    <t>Yeah, I guess so!+__
Neither I expected to wake up on a deserted island!+__
I'm currently living a movie plot...+ Cameras anywhere?+__
...+__
I can't even tell if I'm dreaming or not.+__</t>
  </si>
  <si>
    <t>...Y-+You promise?...+__
Thanks...+__
Sorry, this whole situation has my mind doing backflips.+__
I just have to take a deep breath and it will be okay...+__
*breath*...+__
Alright!+ I'm up to go!+ I think I can keep going thanks to you.+__</t>
  </si>
  <si>
    <t>Well...+ On one hand, it's nice to know that I'm not talking to a ghost.+__
On the other hand, the fact that I'm not dreaming about being stuck in an abandonned city in the middle of the sea scares the shit out of me.+__
I'll eventually work out why all of this is happening in the first place,+__
but for now, let's just move forward.+__</t>
  </si>
  <si>
    <t>I'LL SCREAM AS LOUD AS I WANT!!+__
FUCK WHOEVER MADE ME GO HERE!+__
FUCK ME FOR NOT REMEMBERING WHO I AM!+__
FUCK THIS PHONE FOR HAVING YOU FOR ONLY CONTACT!+__
TAKE THAT!+__
*impact noises*+__
...+Oh no, no, no, no, what have I done...+ Please tell me you're still working...+__
...H-+Hello...+ You still hear me?...+__</t>
  </si>
  <si>
    <t>talkable browser</t>
  </si>
  <si>
    <t>Good one, clown.+__
Anyway, I'm getting near the entrance of the zoo.+__
It might be better if we focus on getting out of here more than joking around.+__</t>
  </si>
  <si>
    <t>That's right...+ Getting out of here...+__
...+If that's even possible.+ I mean...+__
Opening this trapdoor might be the only way out of here, but why is it here in the first place?+__
I guess I won't have any answer if I don't go and see by myself.+__</t>
  </si>
  <si>
    <t>I'm so, so, so sorry.+ I didn't mean to yell like that...+__
What is this thing made of?.+__
I don't know how much this piece of junk can endure but I don't want to find out.+__</t>
  </si>
  <si>
    <t>R-Right,+ you're right.+__
I'm lucky this flip phone can handle this much.+__
I think I can keep going now.+__</t>
  </si>
  <si>
    <t>NO PLEASE, I DON'T KNOW IF I COULD EVEN MAKE IT OUT ALIVE WITHOUT YOU!+__
O-Okay,+ I'll be more careful from now on...+ Please don't go.+__</t>
  </si>
  <si>
    <t>the entrance of the zoo</t>
  </si>
  <si>
    <t>Yes, There's a huge opened metallic gate right here. And also I'm in front of a map of the zoo...+__
...+__
...+It's almost unreadable.+ All of it's teared away and I can't even make up where to go.+__
Hahaha! Funny thing, it's shaped like Australia!+__
...+Is my brain fucked up for laughing at this?+__
I guess it is.+__</t>
  </si>
  <si>
    <t>Nothing that strikes my mi-+Oh wait!+__
There are flyers lying here and there.+ Let me try to catch one+__
...*footsteps*+...Oof!+__
...+I got one! *paper noises*+__
...Uhmm+...+It looks like a presentation of the animals of the zoo.+__
It's weird but there are words written using markers on the snake's page.+__</t>
  </si>
  <si>
    <t>There's the frist word "BRSBNE",+__
then there's an arrow leading to the word "DRWN"+__
and the word "PRTH" at the very end.+__
Too bad I can't speak moon runes+__
#%aUsTraLiA+ miGhT hAvE+ SoMeThiNg tO+ dO WiTh+ This=#+__</t>
  </si>
  <si>
    <t>Huh?+ I said nothing about Australia.+__
#%tHoSe WorDs+ CoULd bE+ ReLaTeD tO AusTrALiA's+ mAP, dOn'T+ yOu ThinK?=#</t>
  </si>
  <si>
    <t>Wh-whuh?+ I thought I was the one losing my mind but you seem pretty touched too.+__
I'm the only one talking to you right now, so let's focus on what's important :+__
Getting me OUT OF HERE!+__
#%i'LL bE+ hErE tO+ hELp yOu, tHe OtHeR OnE iS FoLLOwIng YoU=#+__</t>
  </si>
  <si>
    <t>No shit Sherlock!+ Everything's weird in here.+__
I need your help now, so prove me you're not crazy and you can be helpful!+__</t>
  </si>
  <si>
    <t>see mokeys</t>
  </si>
  <si>
    <t>Seeing what's inside this vivarium might be the best lead we have, you're right.+__
Even if these words marked very clearly on this flyers are extremly suspiscious, I guess we have no choice.+__
So? Where should I be heading now?+__</t>
  </si>
  <si>
    <t>see snakes</t>
  </si>
  <si>
    <t>Firstly East? That seems like a random choice but okay.+__
It's so weird walking near these empty enclosures.+__
Like, I feel that I'm the one being observed like an animal even if I'm the one outside of these cages.+__
Enough weird and paranoïd thoughts.+ What then?+__</t>
  </si>
  <si>
    <t>see birds</t>
  </si>
  <si>
    <t>North second?+ I guess that'll do.+__
You're lucky that I can tell the direction thanks to the position of the sun, or it would have been really ankward+__
Now that I think about it, I could triangulate my position thanks to the stars!+__
Too bad it's day time...+ And that I haven't got a fucking idea how star triangulation works in the first place+__
Anyway, where should I go next?+__</t>
  </si>
  <si>
    <t>wrong direction</t>
  </si>
  <si>
    <t>Riiiight...+ You seem confident about it so I'm going to listen to you...+*footsteps*+__
...+__
{SEVERAL MINUTES LATER}+__
...+__
...Well shit.+ I'm somehow back at the entrance.+ Nice direction you gave me there...+__</t>
  </si>
  <si>
    <t>West?+ It's not like I know where to go anyway.+ I'll be with these snakes in a minute if you're right.+__
...*footsteps*+__
{SEVERAL MINUTES LATER}+ ...+Here I am! The vivarium...+is empty...+__
Well, that's anti-climatic!+ I expected to be bit by a viper or something.+__
%#I hOpE yOu'LL rEmeMbEr ThE wAy bAcK=#+__</t>
  </si>
  <si>
    <t>I see an emergency exit right at the bottom.+__
There's also an opened glass cage, it looks like the main attraction of this place.+
There are severals palm trees here and there and a reception desk over here.+__
What should I do?+__</t>
  </si>
  <si>
    <t>Exit door</t>
  </si>
  <si>
    <t>I hope this emergency exit does what it 's supposed to do.+__
*footsteps*+......+You're kidding me...+__
What kind of shit-brained buffoon puts a freaking renforced chain on an emergency exit???+__
...+hope there is something to break it down near there.+__</t>
  </si>
  <si>
    <t>palm trees</t>
  </si>
  <si>
    <t>What interesting would there be about a plain, normal palm tr-...+__
...+Nevermind.+ There are creepy insciptions all over this one.+__
"GET ME OUT, HE'S OBSERVING ME, I CAN FEEL HIM PLAYING WITH MY MIND..."+__
...+Nope, nope nope nope,+ that's it.+ I don't want to read more of it.+__</t>
  </si>
  <si>
    <t>reception desk</t>
  </si>
  <si>
    <t>Let's see what's in here.+__
*rummage noises*+...+It's a mayhem!+ There are flyers scattered all over the floor.+__
*cough, cough*+ God!+ The air is so dirty in here!+__
I didn't even moved these papers that much,+ why is there so much dust flying around?+__
*cough*+ It's wei-*cough*+__</t>
  </si>
  <si>
    <t>Your curiosity is going to drive me insane, you know that?+__
...+"I WILL KILL THE ONE RESPONSIBLE FOR THIS.+ I WILL BE MYSELF AGAIN.+ IT WILL LEAVE ME ALONE"+__
...+Seriously....+I-I'm trembling in fear right now...+__
L-Let's tell that this thing never existed+__</t>
  </si>
  <si>
    <t>AND I DON'T WANT TO KNOW ABOUT IT!+__
I'm already on the edge of vomitting of fear, so please let's wrap it up and get out of here quickly.+__
I feel unsafe...+__
And watched...+__</t>
  </si>
  <si>
    <t>glass enclosure</t>
  </si>
  <si>
    <t>I'm near the enclosure. It's really big!+ Looks like it's trying to remake a wild environment+__
There's a sign near the door with "WATCH OUT, VENIMOUS TIGER-SNAKES INSIDE" marked on it.+__
Normally I would freak out at this point but I know there's no living think anywhere here!+__</t>
  </si>
  <si>
    <t>Uh... If you want a lesson about tiger-snake I can tell you what's on it I guess.+__
"Tiger snake, (genus Notechis), Australian member of the cobra family, Elapidae.+__
The snake’s venom, which contains a blood-clotting agent as well as a nerve paralyzer, is potentially fatal to humans.+__
immediate injection of anti-venom is the only way to make it out without irreversible damage"+__</t>
  </si>
  <si>
    <t>It's weird to put a foot inside an animal enclosure.+__
Feels like I'm the one being wa-*THUMB*+__
...+Oh no...+__</t>
  </si>
  <si>
    <t>T-The door of the cage...+__
It...+__
IT CLOSED BEHIND ME!+ I'M STUCK IN THE CAGE!+__
WHO DID THA-...+__
Ouch?</t>
  </si>
  <si>
    <t>I...+ I just got stung by somthing behind my neck...+__
What is it...+ Uh?+ It says "snake veno-...+__
OH MY GOD, IT'S A POISONNED DART!!+__
Oh shit, shit shit shit!+ I'm going to DIE POISONNED!!+__</t>
  </si>
  <si>
    <t>Y-You're right!+ These plastic bottles might have something to do with it and-+__
Oh lord, it looks like vials with syringes of medication...+ Don't tell me I have to inject one of these things...+__
Shit...+ I can feel my consciouscness flying away...+__</t>
  </si>
  <si>
    <t>O...+One has a label with "mRNA-1273"...+__
The...+other one is "ASVS serum"...+__
The last one has...+ "liquified HCN"+__
Please hurry...+ I don't want to die here...+__</t>
  </si>
  <si>
    <t>...+Okay...+ huff+__
I'm shooting it in my arm...+__
...+__
...+__
I don't feel so good...+__
...+I don't want to...+ die...+__</t>
  </si>
  <si>
    <t>...+__
...+__
*footsteps*+__
...+__
--SIGNAL LOST--+__</t>
  </si>
  <si>
    <t>...+You're lucky I'm not afraid of needles...+__
I'm shooting this serum thing... in my arm...+__
...+__
...+__
I-+I think it worked!+ I don't feel pain anymore.+__
...+Looks like the door of the cage is open again too...+__</t>
  </si>
  <si>
    <t>I...+ I don't remember where it came from.+__
But the fact that there was a serum to counter this venom in the first place is...+__
Yeah, I'm not here by coincidence.+ Someone's definitly trying to play with me.+__</t>
  </si>
  <si>
    <t>AAAAAAH! FOR GOD'S SAKE, YOU'RE FREAKING ME OUT!+__
I don't need this kind of joke now!+ I need you to take this situation seriously.+__
Something is really after me and it's clear it's for no good...+__
You're right on one thing : I have to get out, AND FAST+__</t>
  </si>
  <si>
    <t>What do you mean I'm "imagining things"?+__
Do you think it was fake poison?+ Fake pain?+ Or maybe that this whole trap was set by the inca years ago?+__
I'm not going to listen to your opinion anyway.+ What I'm living is real...+__
Why are you trying to convince me otherwise?...+ Are you part of this?+__</t>
  </si>
  <si>
    <t>Why would this phone call the biggest ASSHOLE ON EARTH TO HELP ME!+__
...+I don't care anyway.+ As long as you prevent me from dying like you did before I'm not going to complain...+__
But it might be good if you start acting like you see me as a human being instead of a clown for once.+__</t>
  </si>
  <si>
    <t>That's...+ That's...+ That's fair enough.+__
I can't come up with anything that would be logic at this point.+__
And you genuinly helped me there so...+__
Yeah, I guess I work with that for now.+__
So?+ It's time to get the fuck out of here before some bullshit puzzle happens again, right?+__</t>
  </si>
  <si>
    <t>I KNEW IT!+__
I’M SURE YOU CAN TRACK ME WITH THIS PHONE!+__
*crash*…+ *footsteps fading away*+__
…+__
*faint scream in the distance*+__
—SIGNAL LOST—</t>
  </si>
  <si>
    <t>exit door</t>
  </si>
  <si>
    <t>The exit door?+ It's right here but it was locked anyw-...+
You got to be kidding me...+__
...+The door...+ It has been broke down...+ Now it's wide open.+__
I-It means someone kicked it down while I was inside the glass enclosure...+__</t>
  </si>
  <si>
    <t>I mean…+ It might be better to go baAAAH WHAT THE FUCK!!!!+__
*running sounds*+__
…+__</t>
  </si>
  <si>
    <t>…Is it gone?+__
Oh.+ My.+ GOD!+__
THERE WAS A SILHOUETTE LURKING BEHIND ME IN THE VIVARIUM+__
I mechanicly ran through that damn door and got as far as possible+__</t>
  </si>
  <si>
    <t>If you're thinking the same as me, I think It's best if I follow my
instinct and get out of here QUICK!+__</t>
  </si>
  <si>
    <t>&lt;(48) 1 - Wasn't there an exit door?__</t>
  </si>
  <si>
    <t>Uhm…+ No?+__
There’s two reasons for that.+__
Firstly, I don’t have a clue of the way back to the vivarium.+__
Secondly, THERE WAS A FREACKING MONSTER OUT THERE AND I DON’T WANT TO MEET IT AGAIN+__
Is that enough for you?</t>
  </si>
  <si>
    <t>Y-Yeah…+ I can’t find another word to describe this thing.+__
I’m sure that it was not my imagination…+ I think…+__
…+Great, now you make me doubt of myself.+__</t>
  </si>
  <si>
    <t>I only saw a silhoutte, but it was enough to activate my survival instinct.+__
This thing had human forms but something was clearly off, I don’t know what.+__
…+Why can’t I wake up from this nightmare?+__</t>
  </si>
  <si>
    <t>Yes, uhm...+ I landed in some sort of tunnels.+__
It smells horrible, almost like the rotten food in the supermarket back then.+__
There are several different path in here.+__</t>
  </si>
  <si>
    <t>That’s a good idea, but where should I go?+__
I have no idea where these paths will lead+__
uSe tHe CoDE+__</t>
  </si>
  <si>
    <t>…+What?+__
Why did you tell what?+ I thought I was being clear.+__
fiNd tHe CoDe+__</t>
  </si>
  <si>
    <t>What do you mean a co-…+ Huh?+__
There are inscriptions on the wall…+ It says "MK BLOOD CODE+_
A = FRONT+__
B = LEFT+__
C = RIGHT+__"
#ReMemBeR iT, iT WiLL nOt aPpEAr aGAiN#+__</t>
  </si>
  <si>
    <t>B-But how did you know there was-...+__
Fine...+ Asking more questions will only confuse me more.+__
So where should I go first?+__</t>
  </si>
  <si>
    <t>Okay, front it is.+__
What then?+__</t>
  </si>
  <si>
    <t>Left?+ Righty-o my friendo!...+__
.+.+.+__
Sorry, I thought a bit of humour would be nice, but I was wrong.+__
What next?+__</t>
  </si>
  <si>
    <t>Front again.+__
Oh Lord, why does it have to smell that much in here!+__
Hurry, where should I go?+__</t>
  </si>
  <si>
    <t>Alright, that's right, right?+__
And how about right now?+__</t>
  </si>
  <si>
    <t>Front is...+ uh...+ nah.+ I don't have any puns on this one.+__
Tell me what's next.+__</t>
  </si>
  <si>
    <t>On left it goes!+__
Well tha-...+__
Fuck.+ I heard something behind me.+__
Oh no...+ OH DAMN DAMN DAMN DAMN IT'S RUNNING TOWARDS ME!!!+__
WHERE SHOULD I RUN QUICK!!!+__</t>
  </si>
  <si>
    <t>Are you sure it's there?+__
There's something odd about this pa-*cracking noises*+__
...+Don't tell me the ground's...+__
*COLLAPSING RUCKUS*+__
WOAAAAAAH SHIIIII-*THUMB*+__</t>
  </si>
  <si>
    <t>...+__
...+F...+Fuck...+__
That hurts as hell...+ I thing I broke a rib or something like that...+__
Where did I landed?+ OH MY GOD IT STINKS SO MUCH!+__</t>
  </si>
  <si>
    <t>There's so much dust, I can't see anything!...+ Wait... It's getting more clear.+__
I-I'm in-OUCH!-...+in a withe room.+ The lights work in here...+ There's a door at the back.+__
...I feel like I'm not welcome here.+__</t>
  </si>
  <si>
    <t>I'll try...+__
...+OH! That hurts...+ Okay... I'm standing up...+__
I guess you'll ask me what's behind the door right?+__</t>
  </si>
  <si>
    <t>Here I go...+*door handle noise*+__
...+__
There's blood on the walls...+ I-It looks fresh...+__
This horrible odor...+ It smells more and more as I'm moving through the hallway...+__
...+It seems that it comes from behind this one rusty door.+__</t>
  </si>
  <si>
    <t>...*door handle noise*+__
...+__
...+*vomit noises*+__
OH MY-*cough cough*...+ THERE ARE DEAD CORPSES ALL OVER THE GROUND!+__</t>
  </si>
  <si>
    <t>I-...+I DON'T FREAKING KNOW!+__
THEY ARE PILES OF DEAD BODIES AND YOU THINK THE FIRST QUESTIONS THAT COMES TO MY MIND IS+__
"Oh! Why did they landed here? Did they die of pneumonia? How curious!"+__
NO, I'M SCARED, I WANT TO GET OUT OF HERE!+__</t>
  </si>
  <si>
    <t>Their face.+ They look dismorphed...
...W-What?...+ It's impossible...+__
...+Why do they have the same clothes, the same body traits as...+ me?+ WHY DO THEY LOOK LIKE ME?!+__
It's just a nightmare oh my god+__</t>
  </si>
  <si>
    <t>I-I'm trying, but I'm terrified!+ There was some monster chasing me just before!+__
Now I'm inside this weird underground place filled with dead bodies looking all the same!+__</t>
  </si>
  <si>
    <t xml:space="preserve">What do I mean?+ I mean they all wear the same clothes, have the same facial features, have the same body trai...+__
...+Wait...+Why do they have the same clothes as...+ me?+__
No.+ No, no, no it can't be, that's IMPOSSIBLE!+__
</t>
  </si>
  <si>
    <t>...+__
...+ It all makes sense.+ At first I thought it was only a coincidence, you having the same tone of voice as me but...+__
They are clones, and so am I...+__
We're just copies of you, played with in some kind of experiment.+__</t>
  </si>
  <si>
    <t>no trust end</t>
  </si>
  <si>
    <t>S-SHUT UP!+ YOU KNEW ALL ALONG!+ You're leading all of this right?+__
You cloned yourself for some kind of experiment?+ It's fun seeing yourself suffer right?+__
I'm getting out of here, no matter what you say!+__</t>
  </si>
  <si>
    <t>I'm not listening to you anymore!+__
Here, a door with an exit sign on it.+ You thought I would fall in that trap huh?+ Too bad!+__
*metallic noises*+ You-humpf... You didn't expected me to go through the vents huh?+__
Try to kill me now that you don't know *crack* where I-*CRASH* AAAAAA-*THUMB*+__</t>
  </si>
  <si>
    <t>Still...+huff...+ Still trying to put up your act?+ It doesn't work on me anymore!+__
Now where did I landed...+__
OH SHIT, WHY AM I ON A PILE OF CORPSES?+ WHY WOULD YOU MAKE A ROOM FILLED WITH DEAD CLONES?+__
*mechanical noises*+ What was that noise?... WHY ARE THE WALLS GETTING TIGHTER?!+__</t>
  </si>
  <si>
    <t>I-I-I CAN'T, THERE'S NO WAY OUT!+__
The walls are closing into me!...+__
I don't want to die here!+ I don't want to die as a vulgar piece of meat!+ PLEASE HELP ME!+__
STOP THIS NOW!!!+__</t>
  </si>
  <si>
    <t>YOU LIAR!+ YOU WERE EXPECTING THIS TO HAPPEN!+__
YOU W-*crushing noises*... Oh my fucking god, I'm really going to die...
*crushing noises intensifies*+ I hope you're happy now that you can hear me die crushed alive.+__
You did this with all of the other clones huh?+ Hearing them die on live.+__</t>
  </si>
  <si>
    <t>I hate myself for being a clone of you.+ I hate YOU!+__
*crushing noises loudly intensifies*+__
YOU'RE THE WORST HUMAN BEING ON THIS PLANET AND I'M HAPPY TO DIE AS YOURSELF BECAUSE IT'S WHAT YOU DESERVE!+__
FUCK Y-*crush*+__
...+__</t>
  </si>
  <si>
    <t>...+__
--SIGNAL LOST--+__
{THEY WERE MADE USING THEIR PAST SELVES, AND NOW IT'S THEIR TURN}+__
CRUSHED ENDING.+__</t>
  </si>
  <si>
    <t>trust neutral end</t>
  </si>
  <si>
    <t>I... It can't be.+ I'm like them?+ I'm also a clone?+__
B-But...+ No, that makes sense after all.+__
Your voice, it striked me at first but I considered it was a coincidence.+__</t>
  </si>
  <si>
    <t>It's the same as mine! You're me!...+__
No...+ It's not that...+__
I'M YOU!+ I'M A COPY OF YOU!+__</t>
  </si>
  <si>
    <t>Doesn't it make sense for you? Why would I contact you in the first place?+ BECAUSE YOU'RE THE ORIGINAL!+__
All of these copies, they never called you right?+ They look dismorphed, they are failed versions!+__
Then it means I am somewhat special compared to others. I am a successful clone...+__</t>
  </si>
  <si>
    <t>I guess I can search for some!+ *footsteps*+__
...+There are plans in this room, it might give me more clues about what's happening.+__
It says here that...+__
"The faulty subjects are disposed in the nutrients grinder so they can be recycled as energy for the future subjects conception"+__</t>
  </si>
  <si>
    <t>The plan shows what seems to be an gigantic hydraulic press.+__
T-They put all of the clones here and the flesh and blood is transferred into...+__
Into what seems to be cloning capsules...+ All this diagram forms a loop.+__</t>
  </si>
  <si>
    <t>Wait...+ That means that the thing I met earlier was...+ a failed clone?+__
Oh my god I have to get out of here quickly.+ There must be an exit door somewh-+ OH LORD+__
There's a fuse protected under a cloche!+ "Only use for emergency escape"+__
IT'S FOR THE TRAPDOOR FROM BEFORE!+ I CAN FINALLY GET OUT!+__</t>
  </si>
  <si>
    <t>Lucky me!+ There's an exit door right here!+__
*footsteps*+ These stairs lead to the outside, I can see the light!+__
...+I'M OUTSIDE AHAHAHAH!+ I'm this close to free myself from this nightmare.+__
Now that I'm back at this vivarium, I just have to remember my way ba-...+__
.+.+.+__</t>
  </si>
  <si>
    <t>...+__
I-It's right here...+ With its disfigured face...+__
The silhouette I've seen before.+ The failed clone...+__
It's looking at me...+__
...+__</t>
  </si>
  <si>
    <t>I-I'm petrified...+__
...+He's not mOH MY GOD IT'S RUNNING TOWARDS ME HELP!!!!+__
WHAT IS THE WAY BACK TO THE ENTRANCE?!!!+__
%#rEmeMbEr yOuR pAtH tO tHe viVaRiUm, bUt BaCkWArDs!=#+__</t>
  </si>
  <si>
    <t>EAST! OKAY EAST!+__
huff...+huff+__
I CAN HEAR ME RUNNING BEHIND ME, WHAT WAS IT NEXT?!!+__</t>
  </si>
  <si>
    <t>SOUTH?+ YOU SURE?!+__
I HAVE NO TIME TO THINK ABOUT IT SO I'LL JUST GO THERE!+__
*fast footsteps*+__
FUCK FUCK FUCK IT'S GETTING CLOSER, BUT I THINK I'M ON THE RIGHT WAY!+__
WHAT WAS IT LAST?+__</t>
  </si>
  <si>
    <t>WEST! THAT'S IT!+__
I SEE THE ENTRANCE!+__
I'LL CLOSE THE GATES TO SAVE ME SOME TIME!+__
*metallic rumbling*... *CLANG*+__
...*fast footsteps*+__</t>
  </si>
  <si>
    <t>WAIT!+...+I think it worked!+__
I can't see him back there.+ It must have got tired.+__
...+I ran so much that I'm back at the trapdoor now...+__
So...+ I just have to put the fuze here and...+ *mechanical beeping* YEEES!+__</t>
  </si>
  <si>
    <t>YES, IT'S OPENING!+__
There are stairs here.+ I'm getting down there.+__
...Oh my god...+ It was such an intens-*SHKRRRRRRRRR*+... I'm so happy that you were here to help me.+__</t>
  </si>
  <si>
    <t>Do you mean th-*SHKRRRRRRRRRRR*-ction?+ Oh hell no, not after all that!...+__
But I have t-*SHKRRRRR*-eep going.+ I don't know if I'll be able to contact you agai-*SHKRRRRRRR*+__
...It was a pleasu-*SHKRRRRRRRRRRRRRRR*...+ Thank you, I'm glad to be y-*SHKRRRRRRRRRRR*...+__
Goodbye...+__</t>
  </si>
  <si>
    <t>...+__
--SIGNAL LOST--+__
{ONE LIFE SAVED, BUT WHAT ABOUT THE OTHERS?}+__
TRAPDOOR ENDING.+__</t>
  </si>
  <si>
    <t>ARE YOU SURE IT WAS THERE?!+ I DON'T REMEMB-*THUMB*+__
OUCH! MY ANKLE!+__
*footsteps approaching*+__
Wait, wait, wait, wait...+ No please don't hurt me...+ We're the same, we can escape together!+__
*"IT'S ALL BECAUSE HE WAS WAITING FOR YOU THAT HE MADE ME!"*+__</t>
  </si>
  <si>
    <t>W-What?+__
*"NOW YOU'LL HAVE TO PAY FOR ALL THESE FEELINGS THAT TORTURED ME!!!"*+__
Oh no, NO PLEA-urk!...+__
...+__</t>
  </si>
  <si>
    <t>...+__
--SIGNAL LOST--+__
{YOU GOT TOO CLOSE OF AN INFECTED ONE. YOU FAILED TO KEEP HIS TRUST AND KEEP HIM SAFE.}+__
INFECTED CLONE ENDING.+__</t>
  </si>
  <si>
    <t>I'M RUNNING AS FAST AS I CAN BUT-*rumbling noises*+__
...+__
Fuck...+ The tunnel collapsed behind me.+ This thing must have been crushed by the roof...+__</t>
  </si>
  <si>
    <t>Can't you just wait a second before getting this pragmatic!+__
"Where are you", "What do you see", "Stop dying, it's making me awkward"+__
Wait for me to process everything that's going on, Jesus!+__
I just been chased by a disfigured human for god sake!+__</t>
  </si>
  <si>
    <t>Y-Yeah...+ Thanks for asking.+__
I'm in a corridor now, and it seems far more preserved than annything I saw on this island before.+__
The lights are even working in here.+__</t>
  </si>
  <si>
    <t>disfigured human</t>
  </si>
  <si>
    <t>That's right.+ I turned my back for a blink of a second and I saw what this monster was.+__
It was a human, as tall as I am, but with a deformed face.+__
...+It was horrifying. I wish I never saw that.+__</t>
  </si>
  <si>
    <t>take time to breath</t>
  </si>
  <si>
    <t>Thanks...+__
*breath*...+*cough cough!*+__
Ah shit, that was not the best idea to take a huge breath near a pile of freshly collapsed tunnels.+__
*cough*+ But thanks for the attention anyway, I'm ready to go now.+__</t>
  </si>
  <si>
    <t>soft belly</t>
  </si>
  <si>
    <t>...+__
I'll act as if that was a joke...+__
To change the subject, I'm now in a corridor now, and it seems far more preserved than annything I saw on this island before.+__
The lights are even working in here.+__</t>
  </si>
  <si>
    <t>chase you</t>
  </si>
  <si>
    <t>Do you think I know?+ I'm as confused as you are.+__
Maybe he wanted to eat my flesh, or maybe he wanted to show me kindly how to escape!+__
Seriously, I can't explain anything that's happening to me.+__
I just want to make the one that put me there suffer at this point.+__
Anyway. I 'm in front of a corridor, and it seems far more preserved than annything I saw on this island.+__
The lights are even working in here.+__</t>
  </si>
  <si>
    <t>You're right.+ I feel like I'll turn crazy if I think too much about what's happening.+__
Let's just move forward+__
I'm now inside a corridor, and it seems far more preserved than annything I saw on this island before.+__
The lights are even working in here.+__</t>
  </si>
  <si>
    <t>describe</t>
  </si>
  <si>
    <t>Of course! I'm in front of a corridor.+__
It seems far more preserved than annything I saw on this island before.+__
The lights are even working in here.+__</t>
  </si>
  <si>
    <t>Yes.+__
I've didn't meet any working light before.+ The only thing that was working was this escalator from before.+__
It seems that I'm heading to a new place designed for me by the one who brought me here.+__</t>
  </si>
  <si>
    <t>It's not that it "might be", it's sure that I'm throwing myself in the lion's den.+__
But I have no choice at this point.+ The path behind me is blocked by all the debris.+__
I have to move forward.+__
*footsteps echoing*+__
...+I can't believe it.+__</t>
  </si>
  <si>
    <t>Yes, another trial...+__
I don't know what is the goal of all this, but I will get to the bottom of it. Let's move on+__
*footsteps echoing*+__
...+I can't believe it.+__</t>
  </si>
  <si>
    <t>Th-THERE'S A BOAT HERE!+ It's put on the water, ready to be used!+__
There's even a hole leading outside, I can see the sunshine from here!+__
I'M FINALLY FREE!+__</t>
  </si>
  <si>
    <t>What do you mean it's a trap?+ THE BOAT'S RIGHT HERE!+__
I just have to get on it and I'll finally be free AHAHAHAHAH!!!!+__</t>
  </si>
  <si>
    <t>A YACHT!+ I'M GOING TO ESCAPE FROM THIS NIGHTMARE ISLAND ON A YACHT!+__
YAHOOOOOO!!!+__</t>
  </si>
  <si>
    <t>Oh my-+ Sorry, I'm way too happy about this whole situation.+ I might get out of here!+__
Anyway. I'm in a port inside of some of cave that looks outside, directly into the sea.+__
...+Wait...+ Is that someone standing on the dock?+__
It's not the monster from before.+__</t>
  </si>
  <si>
    <t xml:space="preserve">&amp;I didn't expected you there, to be honest. This place was supposed to be hidden from you.=+__
W-What? Who are you?+__
&amp;I'm your creator. And the one you're talking to with that phone is the original.=+__
</t>
  </si>
  <si>
    <t>&amp;You ask too many questions.+ All you have to know is that all of this experiment was a success.=+__
&amp;Your clone, original, has successfully passed.=+__
&amp;He resisted and still remains unaffected by the thing that transformed the thing that followed you before.=+__
W-Wait...+ What do you mean by clone?+ I have feelings! I can feel pain!+__</t>
  </si>
  <si>
    <t>&amp;You're mistaking yourself with a robot, subject 835.+ You're just a pale copy of what this person you're talking to is.=+__
I...+__
&amp;Confused, right?+ just come to me and accept what you're supposed to be : a succesful vessel.=+__
&amp;Your blood will save millions, let me just exctract all of it from you!=+__</t>
  </si>
  <si>
    <t>I KNOW!+ But I'm not going to have my blood sucked by an old rag!+__
Your advices brought me here, and even if I'm a copy of what you are, I'm not going to give up my life so easely!+__
&amp;Resisting, uh? Looks like I'll have to do the job myself.=+__
What do you mea-OH MY GOD HE HAS A GUN!+__</t>
  </si>
  <si>
    <t>That's right!+ You heard that, old man?+ A SIMPLE GUN'S NOT GOING TO STOP ME AFTER ALL THIS!+__
*BANG*+ SHIT! THAT WAS CLOSE!+__
I'm not going to die here! I'M IN CONTROL OF MY OWN LIFE!+__
&amp;Stay still you insignificant piece of flesh!=+__
NO WAY! I'M COMING FOR YOU!+__</t>
  </si>
  <si>
    <t>*BANG*+ &amp;What, I MISSED?!=+ *click* &amp;NO MORE AMMO?!!=+__
&amp;Wait no, don't hurt me please!+ I'm you're creator!+ I GAVE YOU LIFE!=+__
...+You said subject 835, right?+ They all died in your experiments I guess...+__
Well, it's only fair that I take your life for the many that you took.+__
*WHAM*+ *splash*+__</t>
  </si>
  <si>
    <t>...+__
...+Well, his body is face down in the water, and it doesn't seem to care so I'll assume he is+__
To be honnest, that was the best punch I gave to someone in my entire life...+ since it was the first.+__</t>
  </si>
  <si>
    <t xml:space="preserve">I'm heading to the boat.+__
*footsteps*...+ Yeah, I called it, it's his personnal boat.+__
There is enough rations to live on the sea for a month.+ Seems like I'm escaping for good now!+__
</t>
  </si>
  <si>
    <t>Well, seems like we're going to go seperate ways from now.+ I think there will be no signal on the sea.+__
...+It's been a pleasure to have you on this phone.+ I'm glad that this whole thing has been stopped+__
We could maybe meet one day, but I feel like starting a new life, creating my own new identity.+__
But who knwos?+ Maybe we'll meet again.+__</t>
  </si>
  <si>
    <t>*VRRRRMMMM*...+ The engine's running perfectly!+__
Oh and yes, goodby friend.+__
I'll be heading north, I hope to find civilization quick.+__
I'll let you hang up, my hands are pretty taken by the steering wheel ahah!+__</t>
  </si>
  <si>
    <t>See you, Origin-*bip#*+__
...+ --SIGNAL LOST--+__
{THE MONSTER IS GONE, THE SCIENTIST TOO, BUT WHAT DID THEY SEEK?+__
YOU TWO ARE SAFE NOW. IT'S PROBABLY ALL THAT MATTERS}+__
CLONES REVENGE ENDING</t>
  </si>
  <si>
    <t>I don't care about your "check this, check that" now.+ I'M FREE TO GO!+__
*footsteps*+ Soooo... How does this engine works?+__</t>
  </si>
  <si>
    <t>Oh come on!+ I don't need that anymore!+
I'M FREE-*click*+__
&amp;You thought you could escape me, huh?+ Well too bad, but I'm going to have to replace you.=+__</t>
  </si>
  <si>
    <t>W-Who are you?...+ WHY ARE YOU AIMING A GUN AT ME?+__
&amp;I'm your creator.+ You should be grateful that you're even alive thanks to me.=+__
&amp;Now...+ You got out of the path I made for you thanks to incredible odds, but that's the end of it.=+__
W-What do you mean?+__</t>
  </si>
  <si>
    <t>&amp;I think this is too late for that, original.+ Your mission ends here.+ You've proven me that he's the right one.=+__
The right one?...+ What are you even talking about?+__
&amp;Oh...+ Don't worry about that.+ You won't be here to witness it anyway=+__
Don't tell me you-*BANG*...+__
...+__</t>
  </si>
  <si>
    <t>&amp;See you never, Original.=+__
*bip*...+__
...+__
--SIGNAL LOST--+__
{HE CAUGHT YOU. YOU COULDN'T BE TRUSTED.}
SHOT BY HIM 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</si>
</sst>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4"/>
      <color rgb="FF000000"/>
      <name val="Calibri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72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72"/>
      <color theme="4"/>
      <name val="Calibri"/>
      <family val="2"/>
      <scheme val="minor"/>
    </font>
    <font>
      <sz val="72"/>
      <color rgb="FF000000"/>
      <name val="Calibri"/>
      <family val="2"/>
      <scheme val="minor"/>
    </font>
    <font>
      <sz val="72"/>
      <color rgb="FF92D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5"/>
  <sheetViews>
    <sheetView showFormulas="1" tabSelected="1" topLeftCell="A51" zoomScale="85" zoomScaleNormal="85" workbookViewId="0">
      <selection activeCell="C52" sqref="C52"/>
    </sheetView>
  </sheetViews>
  <sheetFormatPr defaultColWidth="35.85546875" defaultRowHeight="168" customHeight="1"/>
  <cols>
    <col min="1" max="1" width="22.140625" style="2" customWidth="1"/>
    <col min="2" max="2" width="19.28515625" style="9" customWidth="1"/>
    <col min="3" max="3" width="54.42578125" style="7" customWidth="1"/>
    <col min="4" max="8" width="58.7109375" style="6" customWidth="1"/>
  </cols>
  <sheetData>
    <row r="1" spans="1:10" s="5" customFormat="1" ht="24" customHeight="1">
      <c r="A1" s="3" t="s">
        <v>0</v>
      </c>
      <c r="B1" s="13" t="s">
        <v>1</v>
      </c>
      <c r="C1" s="4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1" t="s">
        <v>7</v>
      </c>
      <c r="I1" s="4" t="s">
        <v>8</v>
      </c>
      <c r="J1" s="4" t="s">
        <v>9</v>
      </c>
    </row>
    <row r="2" spans="1:10" ht="168" customHeight="1">
      <c r="A2" s="1">
        <v>1</v>
      </c>
      <c r="B2" s="9" t="s">
        <v>10</v>
      </c>
      <c r="C2" s="6" t="s">
        <v>11</v>
      </c>
      <c r="D2" s="6" t="str">
        <f>"&lt;(" &amp; A3  &amp; ") 1 - Okay, go when you're ready!"  &amp; "__"</f>
        <v>&lt;(2) 1 - Okay, go when you're ready!__</v>
      </c>
    </row>
    <row r="3" spans="1:10" ht="168" customHeight="1">
      <c r="A3" s="2">
        <v>2</v>
      </c>
      <c r="C3" s="6" t="s">
        <v>12</v>
      </c>
      <c r="D3" s="6" t="str">
        <f>"&lt;(" &amp; A4  &amp; ") 1 - No worries. I feel better knowing you're safe. @"  &amp; "__"</f>
        <v>&lt;(3) 1 - No worries. I feel better knowing you're safe. @__</v>
      </c>
      <c r="E3" s="6" t="str">
        <f>"&lt;(" &amp; A6  &amp; ") 2 - Your story still feels kinda weird to me... |"  &amp; "__"</f>
        <v>&lt;(5) 2 - Your story still feels kinda weird to me... |__</v>
      </c>
      <c r="F3" s="6" t="str">
        <f>"&lt;(" &amp; A7  &amp; ") 3 - It's true that I didn't expect to have this kind of call today!"  &amp; "__"</f>
        <v>&lt;(6) 3 - It's true that I didn't expect to have this kind of call today!__</v>
      </c>
    </row>
    <row r="4" spans="1:10" ht="168" customHeight="1">
      <c r="A4" s="2">
        <v>3</v>
      </c>
      <c r="C4" s="6" t="s">
        <v>13</v>
      </c>
      <c r="D4" s="6" t="str">
        <f>"&lt;(" &amp; A5  &amp; ") 1 - Talking about that, this whole situation is trully unreal."  &amp; "__"</f>
        <v>&lt;(4) 1 - Talking about that, this whole situation is trully unreal.__</v>
      </c>
    </row>
    <row r="5" spans="1:10" ht="168" customHeight="1">
      <c r="A5" s="15">
        <v>4</v>
      </c>
      <c r="B5" s="10"/>
      <c r="C5" s="6" t="s">
        <v>14</v>
      </c>
      <c r="D5" s="6" t="str">
        <f>"&lt;(" &amp; A8  &amp; ") 1 - Calm down, you'll be safe with me, I promise. @"  &amp; "__"</f>
        <v>&lt;(7) 1 - Calm down, you'll be safe with me, I promise. @__</v>
      </c>
      <c r="E5" s="6" t="str">
        <f>"&lt;(" &amp; A12  &amp; ") 2 - All that matters is getting you out of here. @"  &amp; "__"</f>
        <v>&lt;(11) 2 - All that matters is getting you out of here. @__</v>
      </c>
      <c r="F5" s="6" t="str">
        <f>"&lt;(" &amp; A10  &amp; ") 3 - Keep quiet! Someone might hear you! |"  &amp; "__"</f>
        <v>&lt;(9) 3 - Keep quiet! Someone might hear you! |__</v>
      </c>
    </row>
    <row r="6" spans="1:10" ht="168" customHeight="1">
      <c r="A6" s="2">
        <v>5</v>
      </c>
      <c r="C6" s="6" t="s">
        <v>15</v>
      </c>
      <c r="D6" s="6" t="str">
        <f>"&lt;(" &amp; A5  &amp; ") 1 - Don't worry, I believe your story, it just feels... unreal."  &amp; "__"</f>
        <v>&lt;(4) 1 - Don't worry, I believe your story, it just feels... unreal.__</v>
      </c>
      <c r="E6" s="6" t="str">
        <f>"&lt;(" &amp; A11 &amp; ") 2 - I guess I'll be your talkable web browser from now on! @"  &amp; "__"</f>
        <v>&lt;(10) 2 - I guess I'll be your talkable web browser from now on! @__</v>
      </c>
    </row>
    <row r="7" spans="1:10" ht="168" customHeight="1">
      <c r="A7" s="2">
        <v>6</v>
      </c>
      <c r="C7" s="6" t="s">
        <v>16</v>
      </c>
      <c r="D7" s="6" t="str">
        <f>"&lt;(" &amp; A9  &amp; ") 1 - I can assure you I'm real, if that's a relief for you. @"  &amp; "__"</f>
        <v>&lt;(8) 1 - I can assure you I'm real, if that's a relief for you. @__</v>
      </c>
      <c r="E7" s="6" t="str">
        <f>"&lt;(" &amp; A5  &amp; ") 2 - It's true, all of this is so unreal..."  &amp; "__"</f>
        <v>&lt;(4) 2 - It's true, all of this is so unreal...__</v>
      </c>
    </row>
    <row r="8" spans="1:10" ht="168" customHeight="1">
      <c r="A8" s="2">
        <v>7</v>
      </c>
      <c r="C8" s="6" t="s">
        <v>17</v>
      </c>
      <c r="D8" s="6" t="str">
        <f>"&lt;(" &amp; A16  &amp; ") 1 - Nice! So, you're near the zoo now?"  &amp; "__"</f>
        <v>&lt;(15) 1 - Nice! So, you're near the zoo now?__</v>
      </c>
    </row>
    <row r="9" spans="1:10" ht="168" customHeight="1">
      <c r="A9" s="14">
        <v>8</v>
      </c>
      <c r="C9" s="6" t="s">
        <v>18</v>
      </c>
      <c r="D9" s="6" t="str">
        <f>"&lt;(" &amp; A16  &amp; ") 1 - So, you're near the zoo now?"  &amp; "__"</f>
        <v>&lt;(15) 1 - So, you're near the zoo now?__</v>
      </c>
    </row>
    <row r="10" spans="1:10" ht="168" customHeight="1">
      <c r="A10" s="14">
        <v>9</v>
      </c>
      <c r="C10" s="6" t="s">
        <v>19</v>
      </c>
      <c r="D10" s="6" t="str">
        <f>"&lt;(" &amp; A13  &amp; ") 1 - Yes, try not to break your only connection to the outside world next time. |"  &amp; "__"</f>
        <v>&lt;(12) 1 - Yes, try not to break your only connection to the outside world next time. |__</v>
      </c>
      <c r="E10" s="6" t="str">
        <f>"&lt;(" &amp; A14  &amp; ") 2 - It's okay. Try to keep your mind straight, now's not the time to act recklessly. @"  &amp; "__"</f>
        <v>&lt;(13) 2 - It's okay. Try to keep your mind straight, now's not the time to act recklessly. @__</v>
      </c>
      <c r="F10" s="6" t="str">
        <f>"&lt;(" &amp; A15  &amp; ") 3 - I'm trying to help you and this is what I get? I might hang up if you continue like that. |"  &amp; "__"</f>
        <v>&lt;(14) 3 - I'm trying to help you and this is what I get? I might hang up if you continue like that. |__</v>
      </c>
    </row>
    <row r="11" spans="1:10" ht="168" customHeight="1">
      <c r="A11" s="14">
        <v>10</v>
      </c>
      <c r="B11" s="9" t="s">
        <v>20</v>
      </c>
      <c r="C11" s="6" t="s">
        <v>21</v>
      </c>
      <c r="D11" s="6" t="str">
        <f>"&lt;(" &amp; A16  &amp; ") 1 - Let's explore the zoo since you're near it now, right?"  &amp; "__"</f>
        <v>&lt;(15) 1 - Let's explore the zoo since you're near it now, right?__</v>
      </c>
    </row>
    <row r="12" spans="1:10" ht="168" customHeight="1">
      <c r="A12" s="14">
        <v>11</v>
      </c>
      <c r="C12" s="6" t="s">
        <v>22</v>
      </c>
      <c r="D12" s="6" t="str">
        <f>"&lt;(" &amp; A16  &amp; ") 1 - The zoo could give you the keys for getting out of here. You're approaching it right?"  &amp; "__"</f>
        <v>&lt;(15) 1 - The zoo could give you the keys for getting out of here. You're approaching it right?__</v>
      </c>
    </row>
    <row r="13" spans="1:10" ht="168" customHeight="1">
      <c r="A13" s="14">
        <v>12</v>
      </c>
      <c r="C13" s="6" t="s">
        <v>23</v>
      </c>
      <c r="D13" s="6" t="str">
        <f>"&lt;(" &amp; A16  &amp; ") 1 - It's pretty solid for sure. But how about the zoo?"  &amp; "__"</f>
        <v>&lt;(15) 1 - It's pretty solid for sure. But how about the zoo?__</v>
      </c>
    </row>
    <row r="14" spans="1:10" ht="168" customHeight="1">
      <c r="A14" s="14">
        <v>13</v>
      </c>
      <c r="C14" s="6" t="s">
        <v>24</v>
      </c>
      <c r="D14" s="6" t="str">
        <f>"&lt;(" &amp; A16  &amp; ") 1 - That's okay. You arrived now?"  &amp; "__"</f>
        <v>&lt;(15) 1 - That's okay. You arrived now?__</v>
      </c>
    </row>
    <row r="15" spans="1:10" ht="168" customHeight="1">
      <c r="A15" s="14">
        <v>14</v>
      </c>
      <c r="C15" s="6" t="s">
        <v>25</v>
      </c>
      <c r="D15" s="6" t="str">
        <f>"&lt;(" &amp; A16  &amp; ") 1 - That's better. Now tell me, you're at the zoo?"  &amp; "__"</f>
        <v>&lt;(15) 1 - That's better. Now tell me, you're at the zoo?__</v>
      </c>
    </row>
    <row r="16" spans="1:10" ht="168" customHeight="1">
      <c r="A16" s="14">
        <v>15</v>
      </c>
      <c r="B16" s="9" t="s">
        <v>26</v>
      </c>
      <c r="C16" s="6" t="s">
        <v>27</v>
      </c>
      <c r="D16" s="6" t="str">
        <f>"&lt;(" &amp; A17  &amp; ") 1 - Is there something else around?"  &amp; "__"</f>
        <v>&lt;(16) 1 - Is there something else around?__</v>
      </c>
    </row>
    <row r="17" spans="1:7" ht="168" customHeight="1">
      <c r="A17" s="14">
        <v>16</v>
      </c>
      <c r="C17" s="6" t="s">
        <v>28</v>
      </c>
      <c r="D17" s="6" t="str">
        <f>"&lt;(" &amp; A18  &amp; ") 1 - What do they say?"  &amp; "__"</f>
        <v>&lt;(17) 1 - What do they say?__</v>
      </c>
    </row>
    <row r="18" spans="1:7" ht="168" customHeight="1">
      <c r="A18" s="14">
        <v>17</v>
      </c>
      <c r="C18" s="6" t="s">
        <v>29</v>
      </c>
      <c r="D18" s="6" t="str">
        <f>"&lt;(" &amp; A22  &amp; ") 1 - Let's why this page deserves to be writing on in this snake's vivarium!"  &amp; "__"</f>
        <v>&lt;(21) 1 - Let's why this page deserves to be writing on in this snake's vivarium!__</v>
      </c>
      <c r="E18" s="6" t="str">
        <f>"&lt;(" &amp; A19  &amp; ") 3 - What do you mean Australia?"  &amp; "__"</f>
        <v>&lt;(18) 3 - What do you mean Australia?__</v>
      </c>
    </row>
    <row r="19" spans="1:7" ht="168" customHeight="1">
      <c r="A19" s="14">
        <v>18</v>
      </c>
      <c r="C19" s="6" t="s">
        <v>30</v>
      </c>
      <c r="D19" s="6" t="str">
        <f>"&lt;(" &amp; A20  &amp; ") 1 - Why are you pretending it's not you saying those things?"  &amp; "__"</f>
        <v>&lt;(19) 1 - Why are you pretending it's not you saying those things?__</v>
      </c>
    </row>
    <row r="20" spans="1:7" ht="168" customHeight="1">
      <c r="A20" s="2">
        <v>19</v>
      </c>
      <c r="C20" s="6" t="s">
        <v>31</v>
      </c>
      <c r="D20" s="6" t="str">
        <f>"&lt;(" &amp; A21  &amp; ") 1 - Something weird is definitly going on... |"  &amp; "__"</f>
        <v>&lt;(20) 1 - Something weird is definitly going on... |__</v>
      </c>
      <c r="E20" s="6" t="str">
        <f>"&lt;(" &amp; A18  &amp; ") 2 - Okay... What were those words again?"  &amp; "__"</f>
        <v>&lt;(17) 2 - Okay... What were those words again?__</v>
      </c>
    </row>
    <row r="21" spans="1:7" ht="168" customHeight="1">
      <c r="A21" s="2">
        <v>20</v>
      </c>
      <c r="C21" s="6" t="s">
        <v>32</v>
      </c>
      <c r="D21" s="6" t="str">
        <f>"&lt;(" &amp; A18  &amp; ") 1 - Right... So, what were those words again?"  &amp; "__"</f>
        <v>&lt;(17) 1 - Right... So, what were those words again?__</v>
      </c>
    </row>
    <row r="22" spans="1:7" ht="168" customHeight="1">
      <c r="A22" s="2">
        <v>21</v>
      </c>
      <c r="B22" s="9" t="s">
        <v>33</v>
      </c>
      <c r="C22" s="6" t="s">
        <v>34</v>
      </c>
      <c r="D22" s="6" t="str">
        <f>"&lt;(" &amp; A25  &amp; ") 1 - Go North"  &amp; "__"</f>
        <v>&lt;(24) 1 - Go North__</v>
      </c>
      <c r="E22" s="6" t="str">
        <f>"&lt;(" &amp; A25  &amp; ") 2 - Go South"  &amp; "__"</f>
        <v>&lt;(24) 2 - Go South__</v>
      </c>
      <c r="F22" s="6" t="str">
        <f>"&lt;(" &amp; A23  &amp; ") 3 - Go East"  &amp; "__"</f>
        <v>&lt;(22) 3 - Go East__</v>
      </c>
      <c r="G22" s="6" t="str">
        <f>"&lt;(" &amp; A25  &amp; ") 4 - Go West"  &amp; "__"</f>
        <v>&lt;(24) 4 - Go West__</v>
      </c>
    </row>
    <row r="23" spans="1:7" ht="168" customHeight="1">
      <c r="A23" s="2">
        <v>22</v>
      </c>
      <c r="B23" s="9" t="s">
        <v>35</v>
      </c>
      <c r="C23" s="6" t="s">
        <v>36</v>
      </c>
      <c r="D23" s="6" t="str">
        <f>"&lt;(" &amp; A24  &amp; ") 1 - Go North"  &amp; "__"</f>
        <v>&lt;(23) 1 - Go North__</v>
      </c>
      <c r="E23" s="6" t="str">
        <f>"&lt;(" &amp; A25  &amp; ") 2 - Go South"  &amp; "__"</f>
        <v>&lt;(24) 2 - Go South__</v>
      </c>
      <c r="F23" s="6" t="str">
        <f>"&lt;(" &amp; A25  &amp; ") 3 - Go East"  &amp; "__"</f>
        <v>&lt;(24) 3 - Go East__</v>
      </c>
      <c r="G23" s="6" t="str">
        <f>"&lt;(" &amp; A25  &amp; ") 4 - Go West"  &amp; "__"</f>
        <v>&lt;(24) 4 - Go West__</v>
      </c>
    </row>
    <row r="24" spans="1:7" ht="168" customHeight="1">
      <c r="A24" s="2">
        <v>23</v>
      </c>
      <c r="B24" s="9" t="s">
        <v>37</v>
      </c>
      <c r="C24" s="6" t="s">
        <v>38</v>
      </c>
      <c r="D24" s="6" t="str">
        <f>"&lt;(" &amp; A25  &amp; ") 1 - Go North"  &amp; "__"</f>
        <v>&lt;(24) 1 - Go North__</v>
      </c>
      <c r="E24" s="6" t="str">
        <f>"&lt;(" &amp; A25  &amp; ") 2 - Go South"  &amp; "__"</f>
        <v>&lt;(24) 2 - Go South__</v>
      </c>
      <c r="F24" s="6" t="str">
        <f>"&lt;(" &amp; A25  &amp; ") 3 - Go East"  &amp; "__"</f>
        <v>&lt;(24) 3 - Go East__</v>
      </c>
      <c r="G24" s="6" t="str">
        <f>"&lt;(" &amp; A26  &amp; ") 4 - Go West"  &amp; "__"</f>
        <v>&lt;(25) 4 - Go West__</v>
      </c>
    </row>
    <row r="25" spans="1:7" ht="168" customHeight="1">
      <c r="A25" s="2">
        <v>24</v>
      </c>
      <c r="B25" s="9" t="s">
        <v>39</v>
      </c>
      <c r="C25" s="6" t="s">
        <v>40</v>
      </c>
      <c r="D25" s="6" t="str">
        <f>"&lt;(" &amp; A18  &amp; ") 1 - I made a mistake. Could you give me those words that were on the flyer?"  &amp; "__"</f>
        <v>&lt;(17) 1 - I made a mistake. Could you give me those words that were on the flyer?__</v>
      </c>
    </row>
    <row r="26" spans="1:7" ht="168" customHeight="1">
      <c r="A26" s="2">
        <v>25</v>
      </c>
      <c r="C26" s="6" t="s">
        <v>41</v>
      </c>
      <c r="D26" s="6" t="str">
        <f>"&lt;(" &amp; A27  &amp; ") 1 - What do you see around you?"  &amp; "__"</f>
        <v>&lt;(26) 1 - What do you see around you?__</v>
      </c>
    </row>
    <row r="27" spans="1:7" ht="168" customHeight="1">
      <c r="A27" s="2">
        <v>26</v>
      </c>
      <c r="C27" s="6" t="s">
        <v>42</v>
      </c>
      <c r="D27" s="6" t="str">
        <f>"&lt;(" &amp; A28  &amp; ") 1 - The exit door could be your way out!"  &amp; "__"</f>
        <v>&lt;(27) 1 - The exit door could be your way out!__</v>
      </c>
      <c r="E27" s="6" t="str">
        <f>"&lt;(" &amp; A33  &amp; ") 2 - Let's look at this glass enclosure"  &amp; "__"</f>
        <v>&lt;(32) 2 - Let's look at this glass enclosure__</v>
      </c>
      <c r="F27" s="6" t="str">
        <f>"&lt;(" &amp; A29  &amp; ") 3 - Is there something interesting with these palm trees?"  &amp; "__"</f>
        <v>&lt;(28) 3 - Is there something interesting with these palm trees?__</v>
      </c>
      <c r="G27" s="6" t="str">
        <f>"&lt;(" &amp; A30  &amp; ") 4 - Search for clues inside the reception desk."  &amp; "__"</f>
        <v>&lt;(29) 4 - Search for clues inside the reception desk.__</v>
      </c>
    </row>
    <row r="28" spans="1:7" ht="168" customHeight="1">
      <c r="A28" s="2">
        <v>27</v>
      </c>
      <c r="B28" s="9" t="s">
        <v>43</v>
      </c>
      <c r="C28" s="6" t="s">
        <v>44</v>
      </c>
      <c r="D28" s="6" t="str">
        <f>"&lt;(" &amp; A27  &amp; ") 1 - What can you see again?"  &amp; "__"</f>
        <v>&lt;(26) 1 - What can you see again?__</v>
      </c>
    </row>
    <row r="29" spans="1:7" ht="168" customHeight="1">
      <c r="A29" s="2">
        <v>28</v>
      </c>
      <c r="B29" s="9" t="s">
        <v>45</v>
      </c>
      <c r="C29" s="6" t="s">
        <v>46</v>
      </c>
      <c r="D29" s="6" t="str">
        <f>"&lt;(" &amp; A30  &amp; ") 1 - Come on, keep reading! |"  &amp; "__"</f>
        <v>&lt;(29) 1 - Come on, keep reading! |__</v>
      </c>
      <c r="E29" s="6" t="str">
        <f>"&lt;(" &amp; A27  &amp; ") 2 - Let's ignore this for now. Is there something else around you?"  &amp; "__"</f>
        <v>&lt;(26) 2 - Let's ignore this for now. Is there something else around you?__</v>
      </c>
    </row>
    <row r="30" spans="1:7" ht="168" customHeight="1">
      <c r="A30" s="2">
        <v>29</v>
      </c>
      <c r="B30" s="9" t="s">
        <v>47</v>
      </c>
      <c r="C30" s="6" t="s">
        <v>48</v>
      </c>
      <c r="D30" s="6" t="str">
        <f>"&lt;(" &amp; A27  &amp; ") 1 - Leave somewhere else before you asphyciate yourself"  &amp; "__"</f>
        <v>&lt;(26) 1 - Leave somewhere else before you asphyciate yourself__</v>
      </c>
    </row>
    <row r="31" spans="1:7" ht="168" customHeight="1">
      <c r="A31" s="2">
        <v>30</v>
      </c>
      <c r="C31" s="6" t="s">
        <v>49</v>
      </c>
      <c r="D31" s="6" t="str">
        <f>"&lt;(" &amp; A32  &amp; ") 1 - You're kidding me? This must mean something! |"  &amp; "__"</f>
        <v>&lt;(31) 1 - You're kidding me? This must mean something! |__</v>
      </c>
      <c r="E31" s="6" t="str">
        <f>"&lt;(" &amp; A27  &amp; ") 2 - Okay, let's look what else is here."  &amp; "__"</f>
        <v>&lt;(26) 2 - Okay, let's look what else is here.__</v>
      </c>
    </row>
    <row r="32" spans="1:7" ht="168" customHeight="1">
      <c r="A32" s="2">
        <v>31</v>
      </c>
      <c r="C32" s="6" t="s">
        <v>50</v>
      </c>
      <c r="D32" s="6" t="str">
        <f>"&lt;(" &amp; A33  &amp; ") 1 - Okay... Is there something else here?"  &amp; "__"</f>
        <v>&lt;(32) 1 - Okay... Is there something else here?__</v>
      </c>
    </row>
    <row r="33" spans="1:6" ht="168" customHeight="1">
      <c r="A33" s="2">
        <v>32</v>
      </c>
      <c r="B33" s="9" t="s">
        <v>51</v>
      </c>
      <c r="C33" s="6" t="s">
        <v>52</v>
      </c>
      <c r="D33" s="6" t="str">
        <f>"&lt;(" &amp; A34  &amp; ") 1 - Is there more precisions on the sign?"  &amp; "__"</f>
        <v>&lt;(33) 1 - Is there more precisions on the sign?__</v>
      </c>
      <c r="E33" s="6" t="str">
        <f>"&lt;(" &amp; A35  &amp; ") 2 - Go see what's inside."  &amp; "__"</f>
        <v>&lt;(34) 2 - Go see what's inside.__</v>
      </c>
      <c r="F33" s="6" t="str">
        <f>"&lt;(" &amp; A27  &amp; ") 3 - Seems dangerous... Let's see if there's more thing around before."  &amp; "__"</f>
        <v>&lt;(26) 3 - Seems dangerous... Let's see if there's more thing around before.__</v>
      </c>
    </row>
    <row r="34" spans="1:6" ht="168" customHeight="1">
      <c r="A34" s="2">
        <v>33</v>
      </c>
      <c r="C34" s="6" t="s">
        <v>53</v>
      </c>
      <c r="D34" s="6" t="str">
        <f>"&lt;(" &amp; A35  &amp; ") 1 - Now that you're educated, you can go inside!"  &amp; "__"</f>
        <v>&lt;(34) 1 - Now that you're educated, you can go inside!__</v>
      </c>
    </row>
    <row r="35" spans="1:6" ht="168" customHeight="1">
      <c r="A35" s="2">
        <v>34</v>
      </c>
      <c r="C35" s="6" t="s">
        <v>54</v>
      </c>
      <c r="D35" s="6" t="str">
        <f>"&lt;(" &amp; A36  &amp; ") 1 - What was that sound?"  &amp; "__"</f>
        <v>&lt;(35) 1 - What was that sound?__</v>
      </c>
    </row>
    <row r="36" spans="1:6" ht="168" customHeight="1">
      <c r="A36" s="2">
        <v>35</v>
      </c>
      <c r="C36" s="6" t="s">
        <v>55</v>
      </c>
      <c r="D36" s="6" t="str">
        <f>"&lt;(" &amp; A37  &amp; ") 1 - What was that?"  &amp; "__"</f>
        <v>&lt;(36) 1 - What was that?__</v>
      </c>
    </row>
    <row r="37" spans="1:6" ht="168" customHeight="1">
      <c r="A37" s="2">
        <v>36</v>
      </c>
      <c r="C37" s="6" t="s">
        <v>56</v>
      </c>
      <c r="D37" s="6" t="str">
        <f>"&lt;(" &amp; A38  &amp; ") 1 - Keep calm. It must be another puzzle! "  &amp; "__"</f>
        <v>&lt;(37) 1 - Keep calm. It must be another puzzle! __</v>
      </c>
    </row>
    <row r="38" spans="1:6" ht="168" customHeight="1">
      <c r="A38" s="2">
        <v>37</v>
      </c>
      <c r="C38" s="6" t="s">
        <v>57</v>
      </c>
      <c r="D38" s="6" t="str">
        <f>"&lt;(" &amp; A39  &amp; ") 1 - Quick, tell me what are these bottles!"  &amp; "__"</f>
        <v>&lt;(38) 1 - Quick, tell me what are these bottles!__</v>
      </c>
    </row>
    <row r="39" spans="1:6" ht="168" customHeight="1">
      <c r="A39" s="2">
        <v>38</v>
      </c>
      <c r="C39" s="6" t="s">
        <v>58</v>
      </c>
      <c r="D39" s="6" t="str">
        <f>"&lt;(" &amp; A40  &amp; ") 1 - Take the mRNA-1273"  &amp; "__"</f>
        <v>&lt;(39) 1 - Take the mRNA-1273__</v>
      </c>
      <c r="E39" s="6" t="str">
        <f>"&lt;(" &amp; A42  &amp; ") 2 - Take the ASVS serum"  &amp; "__"</f>
        <v>&lt;(41) 2 - Take the ASVS serum__</v>
      </c>
      <c r="F39" s="6" t="str">
        <f>"&lt;(" &amp; A40  &amp; ") 3 - Take the liquified HCN"  &amp; "__"</f>
        <v>&lt;(39) 3 - Take the liquified HCN__</v>
      </c>
    </row>
    <row r="40" spans="1:6" ht="168" customHeight="1">
      <c r="A40" s="2">
        <v>39</v>
      </c>
      <c r="C40" s="6" t="s">
        <v>59</v>
      </c>
      <c r="D40" s="6" t="str">
        <f>"&lt;(" &amp; A41  &amp; ") 1 - Y-You're not going to!"  &amp; "__"</f>
        <v>&lt;(40) 1 - Y-You're not going to!__</v>
      </c>
    </row>
    <row r="41" spans="1:6" ht="168" customHeight="1">
      <c r="A41" s="8">
        <v>40</v>
      </c>
      <c r="C41" s="6" t="s">
        <v>60</v>
      </c>
    </row>
    <row r="42" spans="1:6" ht="168" customHeight="1">
      <c r="A42" s="2">
        <v>41</v>
      </c>
      <c r="C42" s="6" t="s">
        <v>61</v>
      </c>
      <c r="D42" s="6" t="str">
        <f>"&lt;(" &amp; A43  &amp; ") 1 - What was that? Who shot that dart in the first place?"  &amp; "__"</f>
        <v>&lt;(42) 1 - What was that? Who shot that dart in the first place?__</v>
      </c>
    </row>
    <row r="43" spans="1:6" ht="168" customHeight="1">
      <c r="A43" s="2">
        <v>42</v>
      </c>
      <c r="C43" s="6" t="s">
        <v>62</v>
      </c>
      <c r="D43" s="6" t="str">
        <f>"&lt;(" &amp; A44  &amp; ") 1 - You're imagining things. |"  &amp; "__"</f>
        <v>&lt;(43) 1 - You're imagining things. |__</v>
      </c>
      <c r="E43" s="6" t="str">
        <f>"&lt;(" &amp; A45  &amp; ") 2 - You must be right. @"  &amp; "__"</f>
        <v>&lt;(44) 2 - You must be right. @__</v>
      </c>
      <c r="F43" s="6" t="str">
        <f>"&lt;(" &amp; A46  &amp; ") 3 - GET OUT, HE'S OBSERVING YOU! |"  &amp; "__"</f>
        <v>&lt;(45) 3 - GET OUT, HE'S OBSERVING YOU! |__</v>
      </c>
    </row>
    <row r="44" spans="1:6" ht="168" customHeight="1">
      <c r="A44" s="15">
        <v>43</v>
      </c>
      <c r="C44" s="6" t="s">
        <v>63</v>
      </c>
      <c r="D44" s="6" t="str">
        <f>"&lt;(" &amp; A49  &amp; ") 1 - Wasn't there an exit door?"  &amp; "__"</f>
        <v>&lt;(48) 1 - Wasn't there an exit door?__</v>
      </c>
    </row>
    <row r="45" spans="1:6" ht="168" customHeight="1">
      <c r="A45" s="15">
        <v>44</v>
      </c>
      <c r="C45" s="6" t="s">
        <v>64</v>
      </c>
      <c r="D45" s="6" t="str">
        <f>"&lt;(" &amp; A46  &amp; ") 1 - Here you go, imagining things again. |"  &amp; "__"</f>
        <v>&lt;(45) 1 - Here you go, imagining things again. |__</v>
      </c>
      <c r="E45" s="6" t="str">
        <f>"&lt;(" &amp; A47  &amp; ") 2 - No! what would I benefit from this anyway? |"  &amp; "__"</f>
        <v>&lt;(46) 2 - No! what would I benefit from this anyway? |__</v>
      </c>
      <c r="F45" s="6" t="str">
        <f>"&lt;(" &amp; A48  &amp; ") 3 - Yes, I am."  &amp; "__"</f>
        <v>&lt;(47) 3 - Yes, I am.__</v>
      </c>
    </row>
    <row r="46" spans="1:6" ht="168" customHeight="1">
      <c r="A46" s="2">
        <v>45</v>
      </c>
      <c r="C46" s="6" t="s">
        <v>65</v>
      </c>
      <c r="D46" s="6" t="str">
        <f>"&lt;(" &amp; A49  &amp; ") 1 - The biggest asshole on earth tells you to go check the exit door."  &amp; "__"</f>
        <v>&lt;(48) 1 - The biggest asshole on earth tells you to go check the exit door.__</v>
      </c>
    </row>
    <row r="47" spans="1:6" ht="168" customHeight="1">
      <c r="A47" s="2">
        <v>46</v>
      </c>
      <c r="C47" s="6" t="s">
        <v>66</v>
      </c>
      <c r="D47" s="6" t="str">
        <f>"&lt;(" &amp; A49  &amp; ") 1 - How about that exit door from before?"  &amp; "__"</f>
        <v>&lt;(48) 1 - How about that exit door from before?__</v>
      </c>
    </row>
    <row r="48" spans="1:6" ht="168" customHeight="1">
      <c r="A48" s="8">
        <v>47</v>
      </c>
      <c r="C48" s="6" t="s">
        <v>67</v>
      </c>
    </row>
    <row r="49" spans="1:6" ht="168" customHeight="1">
      <c r="A49" s="2">
        <v>48</v>
      </c>
      <c r="B49" s="9" t="s">
        <v>68</v>
      </c>
      <c r="C49" s="6" t="s">
        <v>69</v>
      </c>
      <c r="D49" s="6" t="str">
        <f>"&lt;(" &amp; A50  &amp; ") 1 - Let's enter!"  &amp; "__"</f>
        <v>&lt;(49) 1 - Let's enter!__</v>
      </c>
      <c r="E49" s="6" t="str">
        <f>"&lt;(" &amp; A50  &amp; ") 2 - That's freaking me out... Let's go back."  &amp; "__"</f>
        <v>&lt;(49) 2 - That's freaking me out... Let's go back.__</v>
      </c>
    </row>
    <row r="50" spans="1:6" ht="168" customHeight="1">
      <c r="A50" s="2">
        <v>49</v>
      </c>
      <c r="C50" s="6" t="s">
        <v>70</v>
      </c>
      <c r="D50" s="6" t="str">
        <f>"&lt;(" &amp; A51  &amp; ") 1 - Hey? What happened? HEY?!"  &amp; "__"</f>
        <v>&lt;(50) 1 - Hey? What happened? HEY?!__</v>
      </c>
    </row>
    <row r="51" spans="1:6" ht="168" customHeight="1">
      <c r="A51" s="2">
        <v>50</v>
      </c>
      <c r="C51" s="6" t="s">
        <v>71</v>
      </c>
      <c r="D51" s="6" t="str">
        <f>"&lt;(" &amp; A56  &amp; ") 1 - I see... Where did you landed?"  &amp; "__"</f>
        <v>&lt;(55) 1 - I see... Where did you landed?__</v>
      </c>
      <c r="E51" s="6" t="str">
        <f>"&lt;(" &amp; A53  &amp; ") 2 - Can't you go back to the vivarium?"  &amp; "__"</f>
        <v>&lt;(52) 2 - Can't you go back to the vivarium?__</v>
      </c>
    </row>
    <row r="52" spans="1:6" ht="168" customHeight="1">
      <c r="A52" s="2">
        <v>51</v>
      </c>
      <c r="C52" s="6" t="s">
        <v>72</v>
      </c>
      <c r="D52" s="6" t="s">
        <v>73</v>
      </c>
    </row>
    <row r="53" spans="1:6" ht="168" customHeight="1">
      <c r="A53" s="2">
        <v>52</v>
      </c>
      <c r="C53" s="6" t="s">
        <v>74</v>
      </c>
      <c r="D53" s="6" t="str">
        <f>"&lt;(" &amp; A54  &amp; ") 1 - A monster you say?"  &amp; "__"</f>
        <v>&lt;(53) 1 - A monster you say?__</v>
      </c>
      <c r="E53" s="6" t="str">
        <f>"&lt;(" &amp; A56  &amp; ") 2 - Where are you now?"  &amp; "__"</f>
        <v>&lt;(55) 2 - Where are you now?__</v>
      </c>
    </row>
    <row r="54" spans="1:6" ht="168" customHeight="1">
      <c r="A54" s="2">
        <v>53</v>
      </c>
      <c r="C54" s="6" t="s">
        <v>75</v>
      </c>
      <c r="D54" s="6" t="str">
        <f>"&lt;(" &amp; A55  &amp; ") 1 - What did it look like?"  &amp; "__"</f>
        <v>&lt;(54) 1 - What did it look like?__</v>
      </c>
    </row>
    <row r="55" spans="1:6" ht="168" customHeight="1">
      <c r="A55" s="2">
        <v>54</v>
      </c>
      <c r="C55" s="6" t="s">
        <v>76</v>
      </c>
      <c r="D55" s="6" t="str">
        <f>"&lt;(" &amp; A56  &amp; ") 1 - We'll get you out of here by moving forward."  &amp; "__"</f>
        <v>&lt;(55) 1 - We'll get you out of here by moving forward.__</v>
      </c>
    </row>
    <row r="56" spans="1:6" ht="168" customHeight="1">
      <c r="A56" s="2">
        <v>55</v>
      </c>
      <c r="C56" s="6" t="s">
        <v>77</v>
      </c>
      <c r="D56" s="6" t="str">
        <f>"&lt;(" &amp; A57  &amp; ") 1 - You're under the island! Maybe you can access other parts of the city from here."  &amp; "__"</f>
        <v>&lt;(56) 1 - You're under the island! Maybe you can access other parts of the city from here.__</v>
      </c>
    </row>
    <row r="57" spans="1:6" ht="168" customHeight="1">
      <c r="A57" s="2">
        <v>56</v>
      </c>
      <c r="C57" s="6" t="s">
        <v>78</v>
      </c>
      <c r="D57" s="6" t="str">
        <f>"&lt;(" &amp; A58  &amp; ") 1 - Huh? What did you say?"  &amp; "__"</f>
        <v>&lt;(57) 1 - Huh? What did you say?__</v>
      </c>
    </row>
    <row r="58" spans="1:6" ht="168" customHeight="1">
      <c r="A58" s="2">
        <v>57</v>
      </c>
      <c r="C58" s="6" t="s">
        <v>79</v>
      </c>
      <c r="D58" s="6" t="str">
        <f>"&lt;(" &amp; A59  &amp; ") 1 - I-Is there a code near you by any chance?"  &amp; "__"</f>
        <v>&lt;(58) 1 - I-Is there a code near you by any chance?__</v>
      </c>
    </row>
    <row r="59" spans="1:6" ht="168" customHeight="1">
      <c r="A59" s="2">
        <v>58</v>
      </c>
      <c r="C59" s="6" t="s">
        <v>80</v>
      </c>
      <c r="D59" s="6" t="str">
        <f>"&lt;(" &amp; A60  &amp; ") 1 - Okay noted, now you'll have to listen to my instructions."  &amp; "__"</f>
        <v>&lt;(59) 1 - Okay noted, now you'll have to listen to my instructions.__</v>
      </c>
    </row>
    <row r="60" spans="1:6" ht="168" customHeight="1">
      <c r="A60" s="2">
        <v>59</v>
      </c>
      <c r="C60" s="6" t="s">
        <v>81</v>
      </c>
      <c r="D60" s="6" t="str">
        <f>"&lt;(" &amp; A61  &amp; ") 1 - Go front"  &amp; "__"</f>
        <v>&lt;(60) 1 - Go front__</v>
      </c>
      <c r="E60" s="6" t="str">
        <f>"&lt;(" &amp; A67  &amp; ") 2 - Go right"  &amp; "__"</f>
        <v>&lt;(66) 2 - Go right__</v>
      </c>
      <c r="F60" s="6" t="str">
        <f>"&lt;(" &amp; A67  &amp; ") 3 - Go left"  &amp; "__"</f>
        <v>&lt;(66) 3 - Go left__</v>
      </c>
    </row>
    <row r="61" spans="1:6" ht="168" customHeight="1">
      <c r="A61" s="2">
        <v>60</v>
      </c>
      <c r="C61" s="6" t="s">
        <v>82</v>
      </c>
      <c r="D61" s="6" t="str">
        <f>"&lt;(" &amp; A67  &amp; ") 1 - Go front"  &amp; "__"</f>
        <v>&lt;(66) 1 - Go front__</v>
      </c>
      <c r="E61" s="6" t="str">
        <f>"&lt;(" &amp; A67  &amp; ") 2 - Go right"  &amp; "__"</f>
        <v>&lt;(66) 2 - Go right__</v>
      </c>
      <c r="F61" s="6" t="str">
        <f>"&lt;(" &amp; A62  &amp; ") 3 - Go left"  &amp; "__"</f>
        <v>&lt;(61) 3 - Go left__</v>
      </c>
    </row>
    <row r="62" spans="1:6" ht="168" customHeight="1">
      <c r="A62" s="2">
        <v>61</v>
      </c>
      <c r="C62" s="6" t="s">
        <v>83</v>
      </c>
      <c r="D62" s="6" t="str">
        <f>"&lt;(" &amp; A63  &amp; ") 1 - Go front"  &amp; "__"</f>
        <v>&lt;(62) 1 - Go front__</v>
      </c>
      <c r="E62" s="6" t="str">
        <f>"&lt;(" &amp; A67  &amp; ") 2 - Go right"  &amp; "__"</f>
        <v>&lt;(66) 2 - Go right__</v>
      </c>
      <c r="F62" s="6" t="str">
        <f>"&lt;(" &amp; A67  &amp; ") 3 - Go left"  &amp; "__"</f>
        <v>&lt;(66) 3 - Go left__</v>
      </c>
    </row>
    <row r="63" spans="1:6" ht="168" customHeight="1">
      <c r="A63" s="2">
        <v>62</v>
      </c>
      <c r="C63" s="6" t="s">
        <v>84</v>
      </c>
      <c r="D63" s="6" t="str">
        <f>"&lt;(" &amp; A67  &amp; ") 1 - Go front"  &amp; "__"</f>
        <v>&lt;(66) 1 - Go front__</v>
      </c>
      <c r="E63" s="6" t="str">
        <f>"&lt;(" &amp; A64  &amp; ") 2 - Go right"  &amp; "__"</f>
        <v>&lt;(63) 2 - Go right__</v>
      </c>
      <c r="F63" s="6" t="str">
        <f>"&lt;(" &amp; A67  &amp; ") 3 - Go left"  &amp; "__"</f>
        <v>&lt;(66) 3 - Go left__</v>
      </c>
    </row>
    <row r="64" spans="1:6" ht="168" customHeight="1">
      <c r="A64" s="2">
        <v>63</v>
      </c>
      <c r="C64" s="6" t="s">
        <v>85</v>
      </c>
      <c r="D64" s="6" t="str">
        <f>"&lt;(" &amp; A65  &amp; ") 1 - Go front"  &amp; "__"</f>
        <v>&lt;(64) 1 - Go front__</v>
      </c>
      <c r="E64" s="6" t="str">
        <f>"&lt;(" &amp; A67  &amp; ") 2 - Go right"  &amp; "__"</f>
        <v>&lt;(66) 2 - Go right__</v>
      </c>
      <c r="F64" s="6" t="str">
        <f>"&lt;(" &amp; A67  &amp; ") 3 - Go left"  &amp; "__"</f>
        <v>&lt;(66) 3 - Go left__</v>
      </c>
    </row>
    <row r="65" spans="1:6" ht="168" customHeight="1">
      <c r="A65" s="2">
        <v>64</v>
      </c>
      <c r="C65" s="6" t="s">
        <v>86</v>
      </c>
      <c r="D65" s="6" t="str">
        <f>"&lt;(" &amp; A67  &amp; ") 1 - Go front"  &amp; "__"</f>
        <v>&lt;(66) 1 - Go front__</v>
      </c>
      <c r="E65" s="6" t="str">
        <f>"&lt;(" &amp; A67  &amp; ") 2 - Go right"  &amp; "__"</f>
        <v>&lt;(66) 2 - Go right__</v>
      </c>
      <c r="F65" s="6" t="str">
        <f>"&lt;(" &amp; A66  &amp; ") 3 - Go left"  &amp; "__"</f>
        <v>&lt;(65) 3 - Go left__</v>
      </c>
    </row>
    <row r="66" spans="1:6" ht="168" customHeight="1">
      <c r="A66" s="2">
        <v>65</v>
      </c>
      <c r="C66" s="6" t="s">
        <v>87</v>
      </c>
      <c r="D66" s="6" t="str">
        <f>"&lt;(" &amp; A67  &amp; ") 1 - FRONT"  &amp; "__"</f>
        <v>&lt;(66) 1 - FRONT__</v>
      </c>
      <c r="E66" s="6" t="str">
        <f>"&lt;(" &amp; A67  &amp; ") 2 - RIGHT"  &amp; "__"</f>
        <v>&lt;(66) 2 - RIGHT__</v>
      </c>
      <c r="F66" s="6" t="str">
        <f>"&lt;(" &amp; A104  &amp; ") 3 - LEFT"  &amp; "__"</f>
        <v>&lt;(103) 3 - LEFT__</v>
      </c>
    </row>
    <row r="67" spans="1:6" ht="168" customHeight="1">
      <c r="A67" s="2">
        <v>66</v>
      </c>
      <c r="C67" s="6" t="s">
        <v>88</v>
      </c>
      <c r="D67" s="6" t="str">
        <f>"&lt;(" &amp; A68  &amp; ") 1 - Hey! Tell me you're still alive please!"  &amp; "__"</f>
        <v>&lt;(67) 1 - Hey! Tell me you're still alive please!__</v>
      </c>
    </row>
    <row r="68" spans="1:6" ht="168" customHeight="1">
      <c r="A68" s="2">
        <v>67</v>
      </c>
      <c r="C68" s="6" t="s">
        <v>89</v>
      </c>
      <c r="D68" s="6" t="str">
        <f>"&lt;(" &amp; A69  &amp; ") 1 - What's around you?"  &amp; "__"</f>
        <v>&lt;(68) 1 - What's around you?__</v>
      </c>
    </row>
    <row r="69" spans="1:6" ht="168" customHeight="1">
      <c r="A69" s="2">
        <v>68</v>
      </c>
      <c r="C69" s="6" t="s">
        <v>90</v>
      </c>
      <c r="D69" s="6" t="str">
        <f>"&lt;(" &amp; A70  &amp; ") 1 - Can you get up and explore the place?"  &amp; "__"</f>
        <v>&lt;(69) 1 - Can you get up and explore the place?__</v>
      </c>
    </row>
    <row r="70" spans="1:6" ht="168" customHeight="1">
      <c r="A70" s="2">
        <v>69</v>
      </c>
      <c r="C70" s="6" t="s">
        <v>91</v>
      </c>
      <c r="D70" s="6" t="str">
        <f>"&lt;(" &amp; A71  &amp; ") 1 - You guessed it."  &amp; "__"</f>
        <v>&lt;(70) 1 - You guessed it.__</v>
      </c>
    </row>
    <row r="71" spans="1:6" ht="168" customHeight="1">
      <c r="A71" s="2">
        <v>70</v>
      </c>
      <c r="C71" s="6" t="s">
        <v>92</v>
      </c>
      <c r="D71" s="6" t="str">
        <f>"&lt;(" &amp; A72  &amp; ") 1 - Are you sure you have to open this one?..."  &amp; "__"</f>
        <v>&lt;(71) 1 - Are you sure you have to open this one?...__</v>
      </c>
    </row>
    <row r="72" spans="1:6" ht="168" customHeight="1">
      <c r="A72" s="2">
        <v>71</v>
      </c>
      <c r="C72" s="6" t="s">
        <v>93</v>
      </c>
      <c r="D72" s="6" t="str">
        <f>"&lt;(" &amp; A73  &amp; ") 1 - Why are they here? |"  &amp; "__"</f>
        <v>&lt;(72) 1 - Why are they here? |__</v>
      </c>
      <c r="E72" s="6" t="str">
        <f>"&lt;(" &amp; A74  &amp; ") 2 - Who are they?"  &amp; "__"</f>
        <v>&lt;(73) 2 - Who are they?__</v>
      </c>
      <c r="F72" s="6" t="str">
        <f>"&lt;(" &amp; A73  &amp; ") 3 - How did they die? |"  &amp; "__"</f>
        <v>&lt;(72) 3 - How did they die? |__</v>
      </c>
    </row>
    <row r="73" spans="1:6" ht="168" customHeight="1">
      <c r="A73" s="2">
        <v>72</v>
      </c>
      <c r="C73" s="6" t="s">
        <v>94</v>
      </c>
      <c r="D73" s="6" t="str">
        <f>"&lt;(" &amp; A74  &amp; ") 1 - Are they this terrifying?"  &amp; "__"</f>
        <v>&lt;(73) 1 - Are they this terrifying?__</v>
      </c>
      <c r="E73" s="6" t="str">
        <f>"&lt;(" &amp; A75  &amp; ") 2 - Calm down! You're safe with me. @"  &amp; "__"</f>
        <v>&lt;(74) 2 - Calm down! You're safe with me. @__</v>
      </c>
    </row>
    <row r="74" spans="1:6" ht="168" customHeight="1">
      <c r="A74" s="2">
        <v>73</v>
      </c>
      <c r="C74" s="6" t="s">
        <v>95</v>
      </c>
      <c r="D74" s="6" t="str">
        <f>"&lt;(" &amp; A77  &amp; ") 1 - Do I understand that... &gt;84"  &amp; "__"</f>
        <v>&lt;(76) 1 - Do I understand that... &gt;84__</v>
      </c>
    </row>
    <row r="75" spans="1:6" ht="168" customHeight="1">
      <c r="A75" s="2">
        <v>74</v>
      </c>
      <c r="C75" s="6" t="s">
        <v>96</v>
      </c>
      <c r="D75" s="6" t="str">
        <f>"&lt;(" &amp; A76  &amp; ") 1 - What do you mean by looking all the same?"  &amp; "__"</f>
        <v>&lt;(75) 1 - What do you mean by looking all the same?__</v>
      </c>
    </row>
    <row r="76" spans="1:6" ht="168" customHeight="1">
      <c r="A76" s="2">
        <v>75</v>
      </c>
      <c r="C76" s="6" t="s">
        <v>97</v>
      </c>
      <c r="D76" s="6" t="str">
        <f>"&lt;(" &amp; A77  &amp; ") 1 - Can it be that... &gt;84"  &amp; "__"</f>
        <v>&lt;(76) 1 - Can it be that... &gt;84__</v>
      </c>
    </row>
    <row r="77" spans="1:6" ht="168" customHeight="1">
      <c r="A77" s="2">
        <v>76</v>
      </c>
      <c r="C77" s="6" t="s">
        <v>98</v>
      </c>
      <c r="D77" s="6" t="str">
        <f>"&lt;(" &amp; A78  &amp; ") 1 - Don't lose hope, there must be a way to get you out of here"  &amp; "__"</f>
        <v>&lt;(77) 1 - Don't lose hope, there must be a way to get you out of here__</v>
      </c>
    </row>
    <row r="78" spans="1:6" ht="168" customHeight="1">
      <c r="A78" s="2">
        <v>77</v>
      </c>
      <c r="B78" s="9" t="s">
        <v>99</v>
      </c>
      <c r="C78" s="6" t="s">
        <v>100</v>
      </c>
      <c r="D78" s="6" t="str">
        <f>"&lt;(" &amp; A79  &amp; ") 1 - You're speaking nonsense!"  &amp; "__"</f>
        <v>&lt;(78) 1 - You're speaking nonsense!__</v>
      </c>
      <c r="E78" s="6" t="str">
        <f>"&lt;(" &amp; A80  &amp; ") 2 - Are you... accusing me?"  &amp; "__"</f>
        <v>&lt;(79) 2 - Are you... accusing me?__</v>
      </c>
      <c r="F78" s="6" t="str">
        <f>"&lt;(" &amp; A80  &amp; ") 3 - That's it, you're turning mad."  &amp; "__"</f>
        <v>&lt;(79) 3 - That's it, you're turning mad.__</v>
      </c>
    </row>
    <row r="79" spans="1:6" ht="168" customHeight="1">
      <c r="A79" s="2">
        <v>78</v>
      </c>
      <c r="C79" s="6" t="s">
        <v>101</v>
      </c>
      <c r="D79" s="6" t="str">
        <f>"&lt;(" &amp; A80  &amp; ") 1 - Are you okay?"  &amp; "__"</f>
        <v>&lt;(79) 1 - Are you okay?__</v>
      </c>
      <c r="E79" s="6" t="str">
        <f>"&lt;(" &amp; A80  &amp; ") 2 - What was that?!"  &amp; "__"</f>
        <v>&lt;(79) 2 - What was that?!__</v>
      </c>
    </row>
    <row r="80" spans="1:6" ht="168" customHeight="1">
      <c r="A80" s="2">
        <v>79</v>
      </c>
      <c r="C80" s="6" t="s">
        <v>102</v>
      </c>
      <c r="D80" s="6" t="str">
        <f>"&lt;(" &amp; A81  &amp; ") 1 - Climb back to the vent!"  &amp; "__"</f>
        <v>&lt;(80) 1 - Climb back to the vent!__</v>
      </c>
    </row>
    <row r="81" spans="1:7" ht="168" customHeight="1">
      <c r="A81" s="2">
        <v>80</v>
      </c>
      <c r="C81" s="6" t="s">
        <v>103</v>
      </c>
      <c r="D81" s="6" t="str">
        <f>"&lt;(" &amp; A82  &amp; ") 1 - I can't do anything!|"  &amp; "__"</f>
        <v>&lt;(81) 1 - I can't do anything!|__</v>
      </c>
      <c r="E81" s="6" t="str">
        <f>"&lt;(" &amp; A82  &amp; ") 2 - You're the one who jumped in the lion's den!|"  &amp; "__"</f>
        <v>&lt;(81) 2 - You're the one who jumped in the lion's den!|__</v>
      </c>
    </row>
    <row r="82" spans="1:7" ht="168" customHeight="1">
      <c r="A82" s="2">
        <v>81</v>
      </c>
      <c r="C82" s="6" t="s">
        <v>104</v>
      </c>
      <c r="D82" s="6" t="str">
        <f>"&lt;(" &amp; A83  &amp; ") 1 - GET OUT OF HERE|"  &amp; "__"</f>
        <v>&lt;(82) 1 - GET OUT OF HERE|__</v>
      </c>
      <c r="E82" s="6" t="str">
        <f>"&lt;(" &amp; A83  &amp; ") 2 - I DIDN'T DO ANYTHING, I SWEAR!|"  &amp; "__"</f>
        <v>&lt;(82) 2 - I DIDN'T DO ANYTHING, I SWEAR!|__</v>
      </c>
      <c r="F82" s="6" t="str">
        <f>"&lt;(" &amp; A83  &amp; ") 3 - That's for not believing me!|"  &amp; "__"</f>
        <v>&lt;(82) 3 - That's for not believing me!|__</v>
      </c>
    </row>
    <row r="83" spans="1:7" ht="168" customHeight="1">
      <c r="A83" s="2">
        <v>82</v>
      </c>
      <c r="C83" s="6" t="s">
        <v>105</v>
      </c>
      <c r="D83" s="6" t="str">
        <f>"&lt;(" &amp; A84  &amp; ") 1 - Oh no...|"  &amp; "__"</f>
        <v>&lt;(83) 1 - Oh no...|__</v>
      </c>
      <c r="E83" s="6" t="str">
        <f>"&lt;(" &amp; A84  &amp; ") 2 - That's what you deserved.|"  &amp; "__"</f>
        <v>&lt;(83) 2 - That's what you deserved.|__</v>
      </c>
    </row>
    <row r="84" spans="1:7" ht="168" customHeight="1">
      <c r="A84" s="8">
        <v>83</v>
      </c>
      <c r="C84" s="6" t="s">
        <v>106</v>
      </c>
    </row>
    <row r="85" spans="1:7" ht="168" customHeight="1">
      <c r="A85" s="2">
        <v>84</v>
      </c>
      <c r="B85" s="9" t="s">
        <v>107</v>
      </c>
      <c r="C85" s="6" t="s">
        <v>108</v>
      </c>
      <c r="D85" s="6" t="str">
        <f>"&lt;(" &amp; A86  &amp; ") 1 - My voice? What about it?"  &amp; "__"</f>
        <v>&lt;(85) 1 - My voice? What about it?__</v>
      </c>
    </row>
    <row r="86" spans="1:7" ht="168" customHeight="1">
      <c r="A86" s="2">
        <v>85</v>
      </c>
      <c r="C86" s="6" t="s">
        <v>109</v>
      </c>
      <c r="D86" s="6" t="str">
        <f>"&lt;(" &amp; A87  &amp; ") 1 - What's your theory?"  &amp; "__"</f>
        <v>&lt;(86) 1 - What's your theory?__</v>
      </c>
      <c r="E86" s="6" t="str">
        <f>"&lt;(" &amp; A87  &amp; ") 2 - Have you become insane?|"  &amp; "__"</f>
        <v>&lt;(86) 2 - Have you become insane?|__</v>
      </c>
      <c r="F86" s="6" t="str">
        <f>"&lt;(" &amp; A87  &amp; ") 3 - You might be right about that...@"  &amp; "__"</f>
        <v>&lt;(86) 3 - You might be right about that...@__</v>
      </c>
    </row>
    <row r="87" spans="1:7" ht="168" customHeight="1">
      <c r="A87" s="2">
        <v>86</v>
      </c>
      <c r="C87" s="6" t="s">
        <v>110</v>
      </c>
      <c r="D87" s="6" t="str">
        <f>"&lt;(" &amp; A88  &amp; ") 1 - Is there anything more clues here?"  &amp; "__"</f>
        <v>&lt;(87) 1 - Is there anything more clues here?__</v>
      </c>
      <c r="E87" s="6" t="str">
        <f>"&lt;(" &amp; A91  &amp; ") 2 - I don't care about who you are, LET'S GET OUT!"  &amp; "__"</f>
        <v>&lt;(90) 2 - I don't care about who you are, LET'S GET OUT!__</v>
      </c>
    </row>
    <row r="88" spans="1:7" ht="168" customHeight="1">
      <c r="A88" s="2">
        <v>87</v>
      </c>
      <c r="C88" s="6" t="s">
        <v>111</v>
      </c>
      <c r="D88" s="6" t="str">
        <f>"&lt;(" &amp; A89  &amp; ") 1 - Nutrient grinder?"  &amp; "__"</f>
        <v>&lt;(88) 1 - Nutrient grinder?__</v>
      </c>
      <c r="E88" s="6" t="str">
        <f>"&lt;(" &amp; A90  &amp; ") 2 - Does that mean they might be other you/me in here?"  &amp; "__"</f>
        <v>&lt;(89) 2 - Does that mean they might be other you/me in here?__</v>
      </c>
    </row>
    <row r="89" spans="1:7" ht="168" customHeight="1">
      <c r="A89" s="2">
        <v>88</v>
      </c>
      <c r="C89" s="6" t="s">
        <v>112</v>
      </c>
      <c r="D89" s="6" t="str">
        <f>"&lt;(" &amp; A90  &amp; ") 1 - So all of these dead bodies are... Me?"  &amp; "__"</f>
        <v>&lt;(89) 1 - So all of these dead bodies are... Me?__</v>
      </c>
      <c r="E89" s="6" t="str">
        <f>"&lt;(" &amp; A90  &amp; ") 2 - But what about the monster from before. Was it a clone?"  &amp; "__"</f>
        <v>&lt;(89) 2 - But what about the monster from before. Was it a clone?__</v>
      </c>
    </row>
    <row r="90" spans="1:7" ht="168" customHeight="1">
      <c r="A90" s="2">
        <v>89</v>
      </c>
      <c r="C90" s="6" t="s">
        <v>113</v>
      </c>
      <c r="D90" s="6" t="str">
        <f>"&lt;(" &amp; A91  &amp; ") 1 - Is there a way to go back at the surface?"  &amp; "__"</f>
        <v>&lt;(90) 1 - Is there a way to go back at the surface?__</v>
      </c>
    </row>
    <row r="91" spans="1:7" ht="168" customHeight="1">
      <c r="A91" s="2">
        <v>90</v>
      </c>
      <c r="C91" s="6" t="s">
        <v>114</v>
      </c>
      <c r="D91" s="6" t="str">
        <f>"&lt;(" &amp; A92  &amp; ") 1 - What's up? Why did you stop talking?"  &amp; "__"</f>
        <v>&lt;(91) 1 - What's up? Why did you stop talking?__</v>
      </c>
      <c r="E91" s="6" t="str">
        <f>"&lt;(" &amp; A92  &amp; ") 2 - Hello? You're there?"  &amp; "__"</f>
        <v>&lt;(91) 2 - Hello? You're there?__</v>
      </c>
    </row>
    <row r="92" spans="1:7" ht="168" customHeight="1">
      <c r="A92" s="2">
        <v>91</v>
      </c>
      <c r="C92" s="6" t="s">
        <v>115</v>
      </c>
      <c r="D92" s="6" t="str">
        <f>"&lt;(" &amp; A93  &amp; ") 1 - Don't move"  &amp; "__"</f>
        <v>&lt;(92) 1 - Don't move__</v>
      </c>
    </row>
    <row r="93" spans="1:7" ht="168" customHeight="1">
      <c r="A93" s="2">
        <v>92</v>
      </c>
      <c r="C93" s="6" t="s">
        <v>116</v>
      </c>
      <c r="D93" s="6" t="str">
        <f>"&lt;(" &amp; A94  &amp; ") 1 - GO NORTH"  &amp; "__"</f>
        <v>&lt;(93) 1 - GO NORTH__</v>
      </c>
      <c r="E93" s="6" t="str">
        <f>"&lt;(" &amp; A101  &amp; ") 2 - GO SOUTH"  &amp; "__"</f>
        <v>&lt;(100) 2 - GO SOUTH__</v>
      </c>
      <c r="F93" s="6" t="str">
        <f>"&lt;(" &amp; A94 &amp; ") 3 - GO EAST"  &amp; "__"</f>
        <v>&lt;(93) 3 - GO EAST__</v>
      </c>
      <c r="G93" s="6" t="str">
        <f>"&lt;(" &amp; A101  &amp; ") 4 - GO WEST"  &amp; "__"</f>
        <v>&lt;(100) 4 - GO WEST__</v>
      </c>
    </row>
    <row r="94" spans="1:7" ht="168" customHeight="1">
      <c r="A94" s="2">
        <v>93</v>
      </c>
      <c r="C94" s="6" t="s">
        <v>117</v>
      </c>
      <c r="D94" s="6" t="str">
        <f>"&lt;(" &amp; A101 &amp; ") 1 - GO NORTH"  &amp; "__"</f>
        <v>&lt;(100) 1 - GO NORTH__</v>
      </c>
      <c r="E94" s="6" t="str">
        <f>"&lt;(" &amp; A95  &amp; ") 2 - GO SOUTH"  &amp; "__"</f>
        <v>&lt;(94) 2 - GO SOUTH__</v>
      </c>
      <c r="F94" s="6" t="str">
        <f>"&lt;(" &amp; A101  &amp; ") 3 - GO EAST"  &amp; "__"</f>
        <v>&lt;(100) 3 - GO EAST__</v>
      </c>
      <c r="G94" s="6" t="str">
        <f>"&lt;(" &amp; A101  &amp; ") 4 - GO WEST"  &amp; "__"</f>
        <v>&lt;(100) 4 - GO WEST__</v>
      </c>
    </row>
    <row r="95" spans="1:7" ht="168" customHeight="1">
      <c r="A95" s="2">
        <v>94</v>
      </c>
      <c r="C95" s="6" t="s">
        <v>118</v>
      </c>
      <c r="D95" s="6" t="str">
        <f>"&lt;(" &amp; A101  &amp; ") 1 - GO NORTH"  &amp; "__"</f>
        <v>&lt;(100) 1 - GO NORTH__</v>
      </c>
      <c r="E95" s="6" t="str">
        <f>"&lt;(" &amp; A101 &amp; ") 2 - GO SOUTH"  &amp; "__"</f>
        <v>&lt;(100) 2 - GO SOUTH__</v>
      </c>
      <c r="F95" s="6" t="str">
        <f>"&lt;(" &amp; A101  &amp; ") 3 - GO EAST"  &amp; "__"</f>
        <v>&lt;(100) 3 - GO EAST__</v>
      </c>
      <c r="G95" s="6" t="str">
        <f>"&lt;(" &amp; A96  &amp; ") 4 - GO WEST"  &amp; "__"</f>
        <v>&lt;(95) 4 - GO WEST__</v>
      </c>
    </row>
    <row r="96" spans="1:7" ht="168" customHeight="1">
      <c r="A96" s="2">
        <v>95</v>
      </c>
      <c r="C96" s="6" t="s">
        <v>119</v>
      </c>
      <c r="D96" s="6" t="str">
        <f>"&lt;(" &amp; A97 &amp; ") 1 - HURRY!"  &amp; "__"</f>
        <v>&lt;(96) 1 - HURRY!__</v>
      </c>
      <c r="E96" s="6" t="str">
        <f>"&lt;(" &amp; A97 &amp; ") 2 - DID IT WORKED?"  &amp; "__"</f>
        <v>&lt;(96) 2 - DID IT WORKED?__</v>
      </c>
    </row>
    <row r="97" spans="1:6" ht="168" customHeight="1">
      <c r="A97" s="2">
        <v>96</v>
      </c>
      <c r="C97" s="6" t="s">
        <v>120</v>
      </c>
      <c r="D97" s="6" t="str">
        <f>"&lt;(" &amp; A98  &amp; ") 1 - It opened?"  &amp; "__"</f>
        <v>&lt;(97) 1 - It opened?__</v>
      </c>
      <c r="E97" s="6" t="str">
        <f>"&lt;(" &amp; A98  &amp; ") 2 - IT OPENED!"  &amp; "__"</f>
        <v>&lt;(97) 2 - IT OPENED!__</v>
      </c>
    </row>
    <row r="98" spans="1:6" ht="168" customHeight="1">
      <c r="A98" s="2">
        <v>97</v>
      </c>
      <c r="C98" s="6" t="s">
        <v>121</v>
      </c>
      <c r="D98" s="6" t="str">
        <f>"&lt;(" &amp; A99  &amp; ") 1 - Wait, the signal's getting weaker!"  &amp; "__"</f>
        <v>&lt;(98) 1 - Wait, the signal's getting weaker!__</v>
      </c>
    </row>
    <row r="99" spans="1:6" ht="168" customHeight="1">
      <c r="A99" s="2">
        <v>98</v>
      </c>
      <c r="C99" s="6" t="s">
        <v>122</v>
      </c>
      <c r="D99" s="6" t="str">
        <f>"&lt;(" &amp; A100  &amp; ") 1 - I hope you'll be safe. Goodbye"  &amp; "__"</f>
        <v>&lt;(99) 1 - I hope you'll be safe. Goodbye__</v>
      </c>
    </row>
    <row r="100" spans="1:6" ht="168" customHeight="1">
      <c r="A100" s="16">
        <v>99</v>
      </c>
      <c r="C100" s="6" t="s">
        <v>123</v>
      </c>
    </row>
    <row r="101" spans="1:6" ht="168" customHeight="1">
      <c r="A101" s="8">
        <v>100</v>
      </c>
      <c r="C101" s="6" t="s">
        <v>124</v>
      </c>
      <c r="D101" s="6" t="str">
        <f>"&lt;(" &amp; A102  &amp; ") 1 - W-What is he talking about?"  &amp; "__"</f>
        <v>&lt;(101) 1 - W-What is he talking about?__</v>
      </c>
    </row>
    <row r="102" spans="1:6" ht="168" customHeight="1">
      <c r="A102" s="8">
        <v>101</v>
      </c>
      <c r="C102" s="6" t="s">
        <v>125</v>
      </c>
      <c r="D102" s="6" t="str">
        <f>"&lt;(" &amp; A103  &amp; ") 1 - ..."  &amp; "__"</f>
        <v>&lt;(102) 1 - ...__</v>
      </c>
    </row>
    <row r="103" spans="1:6" ht="168" customHeight="1">
      <c r="A103" s="8">
        <v>102</v>
      </c>
      <c r="C103" s="6" t="s">
        <v>126</v>
      </c>
      <c r="D103" s="6" t="str">
        <f t="shared" ref="D96:E116" si="0">"&lt;(" &amp; A104  &amp; ") 1 - "  &amp; "__"</f>
        <v>&lt;(103) 1 - __</v>
      </c>
    </row>
    <row r="104" spans="1:6" ht="168" customHeight="1">
      <c r="A104" s="2">
        <v>103</v>
      </c>
      <c r="C104" s="6" t="s">
        <v>127</v>
      </c>
      <c r="D104" s="6" t="str">
        <f>"&lt;(" &amp; A106  &amp; ") 1 - Are you safe? @"  &amp; "__"</f>
        <v>&lt;(105) 1 - Are you safe? @__</v>
      </c>
      <c r="E104" s="6" t="str">
        <f>"&lt;(" &amp; A104  &amp; ") 2 - Where are you now?"  &amp; "__"</f>
        <v>&lt;(103) 2 - Where are you now?__</v>
      </c>
    </row>
    <row r="105" spans="1:6" ht="168" customHeight="1">
      <c r="A105" s="2">
        <v>104</v>
      </c>
      <c r="C105" s="6" t="s">
        <v>128</v>
      </c>
      <c r="D105" s="6" t="str">
        <f>"&lt;(" &amp; A107  &amp; ") 1 - disfigured human?"  &amp; "__"</f>
        <v>&lt;(106) 1 - disfigured human?__</v>
      </c>
      <c r="E105" s="6" t="str">
        <f>"&lt;(" &amp; A107  &amp; ") 2 - Right, take your time to breath. @"  &amp; "__"</f>
        <v>&lt;(106) 2 - Right, take your time to breath. @__</v>
      </c>
      <c r="F105" s="6" t="str">
        <f>"&lt;(" &amp; A108  &amp; ") 3 - I didn't know you were a soft belly. |"  &amp; "__"</f>
        <v>&lt;(107) 3 - I didn't know you were a soft belly. |__</v>
      </c>
    </row>
    <row r="106" spans="1:6" ht="168" customHeight="1">
      <c r="A106" s="2">
        <v>105</v>
      </c>
      <c r="C106" s="6" t="s">
        <v>129</v>
      </c>
      <c r="D106" s="6" t="str">
        <f>"&lt;(" &amp; A113  &amp; ") 1 - Doesn't it seems like an inhabited place?"  &amp; "__"</f>
        <v>&lt;(112) 1 - Doesn't it seems like an inhabited place?__</v>
      </c>
    </row>
    <row r="107" spans="1:6" ht="168" customHeight="1">
      <c r="A107" s="2">
        <v>106</v>
      </c>
      <c r="B107" s="9" t="s">
        <v>130</v>
      </c>
      <c r="C107" s="6" t="s">
        <v>131</v>
      </c>
      <c r="D107" s="6" t="str">
        <f>"&lt;(" &amp; A108  &amp; ") 1 - It might be better to get out of here since it might get out of the rubble"  &amp; "__"</f>
        <v>&lt;(107) 1 - It might be better to get out of here since it might get out of the rubble__</v>
      </c>
      <c r="E107" s="6" t="str">
        <f>"&lt;(" &amp; A109  &amp; ") 2 - Why did it chase you in the first place? |"  &amp; "__"</f>
        <v>&lt;(108) 2 - Why did it chase you in the first place? |__</v>
      </c>
    </row>
    <row r="108" spans="1:6" ht="168" customHeight="1">
      <c r="A108" s="2">
        <v>107</v>
      </c>
      <c r="B108" s="9" t="s">
        <v>132</v>
      </c>
      <c r="C108" s="6" t="s">
        <v>133</v>
      </c>
      <c r="D108" s="6" t="str">
        <f>"&lt;(" &amp; A112  &amp; ") 1 - Can you describe what's around you?"  &amp; "__"</f>
        <v>&lt;(111) 1 - Can you describe what's around you?__</v>
      </c>
    </row>
    <row r="109" spans="1:6" ht="168" customHeight="1">
      <c r="A109" s="2">
        <v>108</v>
      </c>
      <c r="B109" s="9" t="s">
        <v>134</v>
      </c>
      <c r="C109" s="6" t="s">
        <v>135</v>
      </c>
      <c r="D109" s="6" t="str">
        <f>"&lt;(" &amp; A113  &amp; ") 1 - Doesn't it seems like an inhabited place?"  &amp; "__"</f>
        <v>&lt;(112) 1 - Doesn't it seems like an inhabited place?__</v>
      </c>
    </row>
    <row r="110" spans="1:6" ht="168" customHeight="1">
      <c r="A110" s="2">
        <v>109</v>
      </c>
      <c r="B110" s="9" t="s">
        <v>136</v>
      </c>
      <c r="C110" s="6" t="s">
        <v>137</v>
      </c>
      <c r="D110" s="6" t="str">
        <f>"&lt;(" &amp; A113  &amp; ") 1 - Doesn't it seems like an inhabited place?"  &amp; "__"</f>
        <v>&lt;(112) 1 - Doesn't it seems like an inhabited place?__</v>
      </c>
    </row>
    <row r="111" spans="1:6" ht="168" customHeight="1">
      <c r="A111" s="2">
        <v>110</v>
      </c>
      <c r="C111" s="6" t="s">
        <v>138</v>
      </c>
      <c r="D111" s="6" t="str">
        <f>"&lt;(" &amp; A113  &amp; ") 1 - Doesn't it seems like an inhabited place?"  &amp; "__"</f>
        <v>&lt;(112) 1 - Doesn't it seems like an inhabited place?__</v>
      </c>
    </row>
    <row r="112" spans="1:6" ht="168" customHeight="1">
      <c r="A112" s="2">
        <v>111</v>
      </c>
      <c r="B112" s="9" t="s">
        <v>139</v>
      </c>
      <c r="C112" s="6" t="s">
        <v>140</v>
      </c>
      <c r="D112" s="6" t="str">
        <f>"&lt;(" &amp; A113  &amp; ") 1 - Doesn't it seems like an inhabited place?"  &amp; "__"</f>
        <v>&lt;(112) 1 - Doesn't it seems like an inhabited place?__</v>
      </c>
    </row>
    <row r="113" spans="1:6" ht="168" customHeight="1">
      <c r="A113" s="2">
        <v>112</v>
      </c>
      <c r="C113" s="6" t="s">
        <v>141</v>
      </c>
      <c r="D113" s="6" t="str">
        <f>"&lt;(" &amp; A114  &amp; ") 1 - It might be another trap then, can't you go back?"  &amp; "__"</f>
        <v>&lt;(113) 1 - It might be another trap then, can't you go back?__</v>
      </c>
      <c r="E113" s="6" t="str">
        <f>"&lt;(" &amp; A115  &amp; ") 2 - It's time to face another test it seems."  &amp; "__"</f>
        <v>&lt;(114) 2 - It's time to face another test it seems.__</v>
      </c>
    </row>
    <row r="114" spans="1:6" ht="168" customHeight="1">
      <c r="A114" s="2">
        <v>113</v>
      </c>
      <c r="C114" s="6" t="s">
        <v>142</v>
      </c>
      <c r="D114" s="6" t="str">
        <f>"&lt;(" &amp; A116  &amp; ") 1 - You can't believe what?"  &amp; "__"</f>
        <v>&lt;(115) 1 - You can't believe what?__</v>
      </c>
    </row>
    <row r="115" spans="1:6" ht="168" customHeight="1">
      <c r="A115" s="2">
        <v>114</v>
      </c>
      <c r="C115" s="6" t="s">
        <v>143</v>
      </c>
      <c r="D115" s="6" t="str">
        <f>"&lt;(" &amp; A116  &amp; ") 1 - You can't believe what?"  &amp; "__"</f>
        <v>&lt;(115) 1 - You can't believe what?__</v>
      </c>
    </row>
    <row r="116" spans="1:6" ht="168" customHeight="1">
      <c r="A116" s="2">
        <v>115</v>
      </c>
      <c r="C116" s="6" t="s">
        <v>144</v>
      </c>
      <c r="D116" s="6" t="str">
        <f>"&lt;(" &amp; A117  &amp; ") 1 - Not so fast, it might be a trap!"  &amp; "__"</f>
        <v>&lt;(116) 1 - Not so fast, it might be a trap!__</v>
      </c>
      <c r="E116" s="6" t="str">
        <f>"&lt;(" &amp; A118  &amp; ") 2 - What kind of boat is it?"  &amp; "__"</f>
        <v>&lt;(117) 2 - What kind of boat is it?__</v>
      </c>
    </row>
    <row r="117" spans="1:6" ht="168" customHeight="1">
      <c r="A117" s="2">
        <v>116</v>
      </c>
      <c r="C117" s="6" t="s">
        <v>145</v>
      </c>
      <c r="D117" s="6" t="str">
        <f>"&lt;(" &amp; A119  &amp; ") 1 - Focus now! Is there nothing else in this room?"  &amp; "__"</f>
        <v>&lt;(118) 1 - Focus now! Is there nothing else in this room?__</v>
      </c>
    </row>
    <row r="118" spans="1:6" ht="168" customHeight="1">
      <c r="A118" s="2">
        <v>117</v>
      </c>
      <c r="C118" s="6" t="s">
        <v>146</v>
      </c>
      <c r="D118" s="6" t="str">
        <f>"&lt;(" &amp; A119  &amp; ") 1 - Focus now! Is there nothing else in this room? ;118"  &amp; "__"</f>
        <v>&lt;(118) 1 - Focus now! Is there nothing else in this room? ;118__</v>
      </c>
    </row>
    <row r="119" spans="1:6" ht="168" customHeight="1">
      <c r="A119" s="2">
        <v>118</v>
      </c>
      <c r="C119" s="6" t="s">
        <v>147</v>
      </c>
      <c r="D119" s="6" t="str">
        <f>"&lt;(" &amp; A120  &amp; ") 1 - Try to-..."  &amp; "__"</f>
        <v>&lt;(119) 1 - Try to-...__</v>
      </c>
      <c r="E119" s="6" t="str">
        <f>"&lt;(" &amp; A120  &amp; ") 2 - Go in-..."  &amp; "__"</f>
        <v>&lt;(119) 2 - Go in-...__</v>
      </c>
      <c r="F119" s="6" t="str">
        <f>"&lt;(" &amp; A120  &amp; ") 3 - Hide from-..."  &amp; "__"</f>
        <v>&lt;(119) 3 - Hide from-...__</v>
      </c>
    </row>
    <row r="120" spans="1:6" ht="168" customHeight="1">
      <c r="A120" s="2">
        <v>119</v>
      </c>
      <c r="C120" s="6" t="s">
        <v>148</v>
      </c>
      <c r="D120" s="6" t="str">
        <f>"&lt;(" &amp; A121  &amp; ") 1 - Original? What does he mean?"  &amp; "__"</f>
        <v>&lt;(120) 1 - Original? What does he mean?__</v>
      </c>
      <c r="E120" s="6" t="str">
        <f>"&lt;(" &amp; A121  &amp; ") 2 - What do you mean by creator?"  &amp; "__"</f>
        <v>&lt;(120) 2 - What do you mean by creator?__</v>
      </c>
    </row>
    <row r="121" spans="1:6" ht="168" customHeight="1">
      <c r="A121" s="2">
        <v>120</v>
      </c>
      <c r="C121" s="6" t="s">
        <v>149</v>
      </c>
      <c r="D121" s="6" t="str">
        <f>"&lt;(" &amp; A122  &amp; ") 1 - I..."  &amp; "__"</f>
        <v>&lt;(121) 1 - I...__</v>
      </c>
      <c r="E121" s="6" t="str">
        <f>"&lt;(" &amp; A122  &amp; ") 2 - But..."  &amp; "__"</f>
        <v>&lt;(121) 2 - But...__</v>
      </c>
    </row>
    <row r="122" spans="1:6" ht="168" customHeight="1">
      <c r="A122" s="2">
        <v>121</v>
      </c>
      <c r="C122" s="6" t="s">
        <v>150</v>
      </c>
      <c r="D122" s="6" t="str">
        <f>"&lt;(" &amp; A123  &amp; ") 1 - HE'S GOING TO KILL YOU!"  &amp; "__"</f>
        <v>&lt;(122) 1 - HE'S GOING TO KILL YOU!__</v>
      </c>
    </row>
    <row r="123" spans="1:6" ht="168" customHeight="1">
      <c r="A123" s="2">
        <v>122</v>
      </c>
      <c r="C123" s="6" t="s">
        <v>151</v>
      </c>
      <c r="D123" s="6" t="str">
        <f>"&lt;(" &amp; A124  &amp; ") 1 - FIGHT HIM@"  &amp; "__"</f>
        <v>&lt;(123) 1 - FIGHT HIM@__</v>
      </c>
    </row>
    <row r="124" spans="1:6" ht="168" customHeight="1">
      <c r="A124" s="2">
        <v>123</v>
      </c>
      <c r="C124" s="6" t="s">
        <v>152</v>
      </c>
      <c r="D124" s="6" t="str">
        <f>"&lt;(" &amp; A125  &amp; ") 1 - GIVE HIM WHAT HE DESERVES!@"  &amp; "__"</f>
        <v>&lt;(124) 1 - GIVE HIM WHAT HE DESERVES!@__</v>
      </c>
    </row>
    <row r="125" spans="1:6" ht="168" customHeight="1">
      <c r="A125" s="2">
        <v>124</v>
      </c>
      <c r="C125" s="6" t="s">
        <v>153</v>
      </c>
      <c r="D125" s="6" t="str">
        <f>"&lt;(" &amp; A126  &amp; ") 1 - You killed him?"  &amp; "__"</f>
        <v>&lt;(125) 1 - You killed him?__</v>
      </c>
    </row>
    <row r="126" spans="1:6" ht="168" customHeight="1">
      <c r="A126" s="2">
        <v>125</v>
      </c>
      <c r="C126" s="6" t="s">
        <v>154</v>
      </c>
      <c r="D126" s="6" t="str">
        <f>"&lt;(" &amp; A127  &amp; ") 1 - What are you going to do now?"  &amp; "__"</f>
        <v>&lt;(126) 1 - What are you going to do now?__</v>
      </c>
    </row>
    <row r="127" spans="1:6" ht="168" customHeight="1">
      <c r="A127" s="2">
        <v>126</v>
      </c>
      <c r="C127" s="6" t="s">
        <v>155</v>
      </c>
    </row>
    <row r="128" spans="1:6" ht="168" customHeight="1">
      <c r="A128" s="2">
        <v>127</v>
      </c>
      <c r="C128" s="6" t="s">
        <v>156</v>
      </c>
      <c r="D128" s="6" t="str">
        <f>"&lt;(" &amp; A129  &amp; ") 1 - Well then, I guess it's a goodbye."  &amp; "__"</f>
        <v>&lt;(128) 1 - Well then, I guess it's a goodbye.__</v>
      </c>
    </row>
    <row r="129" spans="1:4" ht="168" customHeight="1">
      <c r="A129" s="2">
        <v>128</v>
      </c>
      <c r="C129" s="6" t="s">
        <v>157</v>
      </c>
      <c r="D129" s="6" t="str">
        <f>"&lt;(" &amp; A130  &amp; ") 1 - See you around. *Hangs up*"  &amp; "__"</f>
        <v>&lt;(129) 1 - See you around. *Hangs up*__</v>
      </c>
    </row>
    <row r="130" spans="1:4" ht="168" customHeight="1">
      <c r="A130" s="2">
        <v>129</v>
      </c>
      <c r="C130" s="6" t="s">
        <v>158</v>
      </c>
    </row>
    <row r="131" spans="1:4" ht="168" customHeight="1">
      <c r="A131" s="2">
        <v>130</v>
      </c>
      <c r="C131" s="6" t="s">
        <v>159</v>
      </c>
      <c r="D131" s="6" t="str">
        <f>"&lt;(" &amp; A132  &amp; ") 1 - You want me to search on the internet?"  &amp; "__"</f>
        <v>&lt;(131) 1 - You want me to search on the internet?__</v>
      </c>
    </row>
    <row r="132" spans="1:4" ht="168" customHeight="1">
      <c r="A132" s="2">
        <v>131</v>
      </c>
      <c r="C132" s="6" t="s">
        <v>160</v>
      </c>
      <c r="D132" s="6" t="str">
        <f>"&lt;(" &amp; A133  &amp; ") 1 - Who is talking?"  &amp; "__"</f>
        <v>&lt;(132) 1 - Who is talking?__</v>
      </c>
    </row>
    <row r="133" spans="1:4" ht="168" customHeight="1">
      <c r="A133" s="2">
        <v>132</v>
      </c>
      <c r="C133" s="6" t="s">
        <v>161</v>
      </c>
      <c r="D133" s="6" t="str">
        <f>"&lt;(" &amp; A134  &amp; ") 1 - FIGHT BACK, DO SOMETHING!"  &amp; "__"</f>
        <v>&lt;(133) 1 - FIGHT BACK, DO SOMETHING!__</v>
      </c>
    </row>
    <row r="134" spans="1:4" ht="168" customHeight="1">
      <c r="A134" s="2">
        <v>133</v>
      </c>
      <c r="C134" s="6" t="s">
        <v>162</v>
      </c>
      <c r="D134" s="6" t="str">
        <f>"&lt;(" &amp; A135  &amp; ") 1 - No... It can't be..."  &amp; "__"</f>
        <v>&lt;(134) 1 - No... It can't be...__</v>
      </c>
    </row>
    <row r="135" spans="1:4" ht="168" customHeight="1">
      <c r="A135" s="2">
        <v>134</v>
      </c>
      <c r="C135" s="6" t="s">
        <v>163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Killian FURNO</cp:lastModifiedBy>
  <cp:revision/>
  <dcterms:created xsi:type="dcterms:W3CDTF">2023-11-08T13:15:22Z</dcterms:created>
  <dcterms:modified xsi:type="dcterms:W3CDTF">2023-12-21T23:40:59Z</dcterms:modified>
  <cp:category/>
  <cp:contentStatus/>
</cp:coreProperties>
</file>