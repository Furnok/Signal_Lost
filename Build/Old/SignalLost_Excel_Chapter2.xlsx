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1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xymis-my.sharepoint.com/personal/b_perrin6_stu-bellecour_fr/Documents/Signal Lost/Project Documentation/"/>
    </mc:Choice>
  </mc:AlternateContent>
  <xr:revisionPtr revIDLastSave="1715" documentId="6_{44740759-587A-480E-8E44-FD34939DF522}" xr6:coauthVersionLast="47" xr6:coauthVersionMax="47" xr10:uidLastSave="{69C383B8-0508-4578-B6C2-BBD713B8B0A8}"/>
  <bookViews>
    <workbookView xWindow="-120" yWindow="-120" windowWidth="29040" windowHeight="1584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7" i="1" l="1"/>
  <c r="D106" i="1"/>
  <c r="E105" i="1"/>
  <c r="E106" i="1"/>
  <c r="D105" i="1"/>
  <c r="D76" i="1"/>
  <c r="D77" i="1"/>
  <c r="D78" i="1"/>
  <c r="D64" i="1"/>
  <c r="D63" i="1"/>
  <c r="D61" i="1"/>
  <c r="D60" i="1"/>
  <c r="D57" i="1"/>
  <c r="D58" i="1"/>
  <c r="D56" i="1"/>
  <c r="D54" i="1"/>
  <c r="D104" i="1"/>
  <c r="E103" i="1"/>
  <c r="D103" i="1"/>
  <c r="E102" i="1"/>
  <c r="D102" i="1"/>
  <c r="E101" i="1"/>
  <c r="D101" i="1"/>
  <c r="E90" i="1"/>
  <c r="F98" i="1"/>
  <c r="E98" i="1"/>
  <c r="D98" i="1"/>
  <c r="D97" i="1"/>
  <c r="E96" i="1"/>
  <c r="D96" i="1"/>
  <c r="D95" i="1"/>
  <c r="D99" i="1"/>
  <c r="E94" i="1"/>
  <c r="D94" i="1"/>
  <c r="D92" i="1"/>
  <c r="D91" i="1"/>
  <c r="D90" i="1"/>
  <c r="D89" i="1"/>
  <c r="D86" i="1"/>
  <c r="E87" i="1"/>
  <c r="D88" i="1"/>
  <c r="D87" i="1"/>
  <c r="E86" i="1"/>
  <c r="E85" i="1"/>
  <c r="D85" i="1"/>
  <c r="D84" i="1"/>
  <c r="D83" i="1"/>
  <c r="E81" i="1"/>
  <c r="D82" i="1"/>
  <c r="D81" i="1"/>
  <c r="E80" i="1"/>
  <c r="D80" i="1"/>
  <c r="D2" i="1"/>
  <c r="D79" i="1"/>
  <c r="E75" i="1"/>
  <c r="D75" i="1"/>
  <c r="E74" i="1"/>
  <c r="D74" i="1"/>
  <c r="F73" i="1"/>
  <c r="E73" i="1"/>
  <c r="D73" i="1"/>
  <c r="F72" i="1"/>
  <c r="E72" i="1"/>
  <c r="D72" i="1"/>
  <c r="F71" i="1"/>
  <c r="E71" i="1"/>
  <c r="D71" i="1"/>
  <c r="E70" i="1"/>
  <c r="D70" i="1"/>
  <c r="D68" i="1"/>
  <c r="E69" i="1"/>
  <c r="D69" i="1"/>
  <c r="E68" i="1"/>
  <c r="D67" i="1"/>
  <c r="E66" i="1"/>
  <c r="D66" i="1"/>
  <c r="D65" i="1"/>
  <c r="E62" i="1"/>
  <c r="D62" i="1"/>
  <c r="F54" i="1"/>
  <c r="D59" i="1"/>
  <c r="E59" i="1"/>
  <c r="E54" i="1"/>
  <c r="F55" i="1"/>
  <c r="E55" i="1"/>
  <c r="D55" i="1"/>
  <c r="D53" i="1"/>
  <c r="H47" i="1"/>
  <c r="G47" i="1"/>
  <c r="F47" i="1"/>
  <c r="E47" i="1"/>
  <c r="D47" i="1"/>
  <c r="D48" i="1"/>
  <c r="H49" i="1"/>
  <c r="H48" i="1"/>
  <c r="G49" i="1"/>
  <c r="F49" i="1"/>
  <c r="E49" i="1"/>
  <c r="F48" i="1"/>
  <c r="D49" i="1"/>
  <c r="G48" i="1"/>
  <c r="E48" i="1"/>
  <c r="D50" i="1"/>
  <c r="D51" i="1"/>
  <c r="E46" i="1"/>
  <c r="D46" i="1"/>
  <c r="D35" i="1"/>
  <c r="D43" i="1"/>
  <c r="D44" i="1"/>
  <c r="D45" i="1"/>
  <c r="D39" i="1"/>
  <c r="D38" i="1"/>
  <c r="D37" i="1"/>
  <c r="E31" i="1"/>
  <c r="E30" i="1"/>
  <c r="E29" i="1"/>
  <c r="D42" i="1"/>
  <c r="D41" i="1"/>
  <c r="D40" i="1"/>
  <c r="D30" i="1"/>
  <c r="D29" i="1"/>
  <c r="D31" i="1"/>
  <c r="F36" i="1"/>
  <c r="E36" i="1"/>
  <c r="D36" i="1"/>
  <c r="E35" i="1"/>
  <c r="D34" i="1"/>
  <c r="E33" i="1"/>
  <c r="D33" i="1"/>
  <c r="D32" i="1"/>
  <c r="F28" i="1"/>
  <c r="E28" i="1"/>
  <c r="D28" i="1"/>
  <c r="D27" i="1"/>
  <c r="D26" i="1"/>
  <c r="D25" i="1"/>
  <c r="D24" i="1"/>
  <c r="D23" i="1"/>
  <c r="D22" i="1"/>
  <c r="D21" i="1"/>
  <c r="F20" i="1"/>
  <c r="E20" i="1"/>
  <c r="D20" i="1"/>
  <c r="F19" i="1"/>
  <c r="E19" i="1"/>
  <c r="D19" i="1"/>
  <c r="F17" i="1"/>
  <c r="E17" i="1"/>
  <c r="D17" i="1"/>
  <c r="F18" i="1"/>
  <c r="E18" i="1"/>
  <c r="D18" i="1"/>
  <c r="E16" i="1"/>
  <c r="D16" i="1"/>
  <c r="D13" i="1"/>
  <c r="E7" i="1"/>
  <c r="D11" i="1"/>
  <c r="D9" i="1"/>
  <c r="D4" i="1"/>
  <c r="E4" i="1"/>
  <c r="F14" i="1"/>
  <c r="E14" i="1"/>
  <c r="D14" i="1"/>
  <c r="E8" i="1"/>
  <c r="D8" i="1"/>
  <c r="D15" i="1"/>
  <c r="D12" i="1"/>
  <c r="E10" i="1"/>
  <c r="D10" i="1"/>
  <c r="D7" i="1"/>
  <c r="D6" i="1"/>
  <c r="E6" i="1"/>
  <c r="F6" i="1"/>
  <c r="E5" i="1"/>
  <c r="D5" i="1"/>
  <c r="E3" i="1"/>
  <c r="D3" i="1"/>
</calcChain>
</file>

<file path=xl/sharedStrings.xml><?xml version="1.0" encoding="utf-8"?>
<sst xmlns="http://schemas.openxmlformats.org/spreadsheetml/2006/main" count="120" uniqueCount="115">
  <si>
    <t>SCENE NUMBER</t>
  </si>
  <si>
    <t>SCENE NAME</t>
  </si>
  <si>
    <t>TEXT SCENE</t>
  </si>
  <si>
    <t>TEXT CHOICE 1</t>
  </si>
  <si>
    <t>TEXT CHOICE 2</t>
  </si>
  <si>
    <t>TEXT CHOICE 3</t>
  </si>
  <si>
    <t>TEXT CHOICE 4</t>
  </si>
  <si>
    <t>TEXT CHOICE 5</t>
  </si>
  <si>
    <t>HAS TIMER ?</t>
  </si>
  <si>
    <t>IS INFLUENCED BY TRUST ?</t>
  </si>
  <si>
    <t xml:space="preserve">Going to the museum?+ I can work with that.+__
This whole trapdoor thing is supicious anyway.+ It might be better to explore this place before doing anything stupid.+__
</t>
  </si>
  <si>
    <t>It's not that far away, I think I can even see it from here!+ I'll take you back in a second when I'll be there!+__
.+.+.+__
.+.+.+__
Okay!+ I'm in front of it.+ It's smaller than I thought, and it looks really well preserved!</t>
  </si>
  <si>
    <t>It looks like this place has only one big main room inside.+__
I don't know if there'll be anything interesting here...+__</t>
  </si>
  <si>
    <t>That's weird right?+__
All this place has is empty buildings withered by the time.+ It's weird that a useless building is still standing unharmed.+__
...+Does that mean that someone's still here to assure this museum is clean?...+__</t>
  </si>
  <si>
    <t>I'm sure you're right...+ But it feels odd, still.+__
I'm  
Great.+ Now I don't feel like entering this place.+__</t>
  </si>
  <si>
    <t>I guess I am...+ The fact that everything seems to be designed to make me explore this place is...+__
Yes, I'm scared...+__</t>
  </si>
  <si>
    <t>I FEEL like not entering, but I have no choice and I think you know it well!+__
I-...+ I could do that but there's nothing that could help me escape that strikes my mind.+__</t>
  </si>
  <si>
    <t>Exactly what I was thinking!...+__
SInce I have no choice, let's enter slowly...+__
...*footsteps*+ *door squeak*+__
...+What is that?+__</t>
  </si>
  <si>
    <t>I'm chicken-hearted?+ Oh yeah?+__
Well, you know what?+ I'll enter this museum without you begging me for it!+__
*footsteps*+ *WHAM*+__
HEY!+ I JUST ENTERED YOUR MUSEUM BY KICKING THE DOOR! *echoes*+__</t>
  </si>
  <si>
    <t>What did I hear?+ Is someone getting scared all of the sudden?+ That'll teach you!+__
But there doesn't seem to be anyone here anyway.+__
Looks like we both worried for nothing.+__
...+But there still somthing off-putting here.</t>
  </si>
  <si>
    <t>See?+ I can get cocky when I want!+ RIGHT?! *echoes*...+__
...+Yeah, no one's responding.+ Not that I'm disappointed anyway!+__
It's way better to know that there is no one lurking at me ahah!+__</t>
  </si>
  <si>
    <t>That's fair, but you seem like a good guy.+__
I'm not going to be scared by a voice coming from an old flipphone!+__
But let's focus more on this museum now.+ Something's off.</t>
  </si>
  <si>
    <t>...+I don't think going inside the only building that looks inhabited is a good idea.+__
I don't want to land face to face with someone hostile.</t>
  </si>
  <si>
    <t>If I would listen to me, I would not enter this place because it freaks me out for some reason...+__
But you're here! I've got nothing to be afraid of, so I'm heading inside!+__
*footsteps*+ *door squeak*...+__</t>
  </si>
  <si>
    <t>The inside of this museum truly feels abnormal...+__
Everything's clean, there's not a single bit of dust here!+__
All these paintings are perfectly displayed,+ sculptures are bright polished..+__
There's even historical relics preserved under glass bells!+__</t>
  </si>
  <si>
    <t>It definitly!+ How can this museum be this clean?+__
Considering that it's the first time I see a place not post-apocalyptic-looking on this island...+__
It surely means that...+__</t>
  </si>
  <si>
    <t>...+No, it isn't?+__
It's unsettling...+ Every place I've been through on this island has only been ruins and now that!+__
It most defintly means that this place is special somehow...+__</t>
  </si>
  <si>
    <t>...+What?+ Wouldn't you be paranoïd after going through what I'm living?+__
I'd like us to switch place and see how you could manage all this...+__
How would you like that idea?+__</t>
  </si>
  <si>
    <t>Oh freak...+ It means my instinct didn't betray me?+__
Do you think it's here? Observing me from a corner?+__
*heavy brething*...+ I think I'm going to throw up...+__</t>
  </si>
  <si>
    <t>...+I didn't expected that kind of answer but it feels weirdly refreshing!+__
It's nice having someone dedramatizing this whole situation.+__
Let's go and solve that mystery then! Where should I go?+__</t>
  </si>
  <si>
    <t>That's a bold thing to say!+__
You're really are a daredevil huh?+__ Well I'm not, and you'll have to bare with it.+__
To refocus on what's important, I think exploring this room might be helpful.+__</t>
  </si>
  <si>
    <t>You see?+ I guess we're not so different after all!+__
Now, this ideological question is interesting but it won't help me to escape from here, so let's explore this place!+__</t>
  </si>
  <si>
    <t>AH!+ You get all showy while you couldn't handle a quarter of what I'm living!+__
...+I'm the one making fun of you but in the end I'm still the one stucked on this island...+ Ironic.+__
It might be the right time to come back at the main question : What is this place?+__</t>
  </si>
  <si>
    <t>...*phew*+ ...That's true.+__
I'm not in imminent danger...+ I must focus on my escape and everything will be okay!+__
I needed to reassure myself before doing a bit of exploration, sorry.+__</t>
  </si>
  <si>
    <t>Huh?+ *heavy breathing*+ I don't care about the art!+__
You know it's really not the time to be joking around, right?+__
I'm diving into the unknown and you think it's funny?+ That's really irritating!+__
I don't want to argue here, so let's go see what this museum has to offer.+__</t>
  </si>
  <si>
    <t>Well, I hope you're not a humorist!+__
You know it's really not the time to be joking around, right?+__
I'm diving into the unknown and you think it's funny?+ That's really irritating!+__
I don't want to argue here, so let's go see what this museum has to offer.+__</t>
  </si>
  <si>
    <t>There are paintings on the wall, from the impressionism era it seems.+__
There's also all these sculptures of muscular men.+ The greek heterocurious kind of sculpture, you know.+__
And there's also these rock plates with strange language engraved on them.+__</t>
  </si>
  <si>
    <t xml:space="preserve">*footsteps*...+ The paintings are all representation of a city!+__
Seems like the keeper of this museum really liked it.+ I can see similar features between all of them.+__
</t>
  </si>
  <si>
    <t>*footsteps*...+ Oh wow! They look even more muscular from close!+__
These stony guys are fighting reeaaaal good!+__</t>
  </si>
  <si>
    <t>*footsteps*...+ It's a really good looking rock, with good looking inscriptions on it!+__
Too bad I can't speak that language tho.+__</t>
  </si>
  <si>
    <t>I thought the same thing...+ I'm not here to appreciate the beauty of hand-made art.+__
I'm here to GET OUT OF THIS ISLAND!+ FUCK YOU, ART!+__
*CRACK*+ Shit, I didn't know kicking a statue could dislock it's leg-*RUMBLE*...+ Huh?+__</t>
  </si>
  <si>
    <t>I-I don't know, the ground shaked for a second...+__
Wait...+ What's tha-...+__
...Has a motherfucking door appeared at the back of the museum?+__
Did I really activated a mechanism at random because of my rage?+__</t>
  </si>
  <si>
    <t>I don't know, but I'm too curious to not go and see what this damn door is all about!+__
*footsteps*...+ SHIT! It's locked!+__
There's a keypad attached to it.+ And it's weird but...+ there are letters here instead of numbers.+__
Oh!+ And here you go, another post-it!+ I start to identify a leitmotiv in these puzzles...+__</t>
  </si>
  <si>
    <t>"IN CASE THE MADNESS MAKES YOU FORGET:+__
-FIRST LETTER = CITY NAME+__
-SECOND LETTER = ARTIST NAME+__
-THIRD LETTER = TRANSLATED IN ENGLISH+__
KEEP EVERYONE OUT AT ALL COST"+__</t>
  </si>
  <si>
    <t>There are paintings on the wall, from the impressionism era it seems.+__
There's also all these sculptures of muscular men.+ The greek heterocurious kind of sculpture, you know.+__
There's also these rock plates with strange language engraved on them.+__
And obviously this weird door with that letter keypad and the note.+__</t>
  </si>
  <si>
    <t>&lt;(38)4 - Can I see the note again?__</t>
  </si>
  <si>
    <t>*footsteps*...+ The paintings are all representation of a city!+__
Seems like the keeper of this museum really liked it.+ I can see similar features between all of them.+__</t>
  </si>
  <si>
    <t>It's multiple painting picturing the same city it seems!+__
I can tell that because of the same looking monument one every of them.+__
It's a huge white pillar with at the top a golden urn of fire, or something like that.+__</t>
  </si>
  <si>
    <t>It's a white statue of two men fighting.+__
Well, I said two men but not really.+ One is a centaur if I'm not mistaking.+__
The human one is on top of him with a huge stick, ready to strike the centaur.+__
That's a cool looking statue!+__</t>
  </si>
  <si>
    <t>It's a flat piece of rock with engravings on it.+__
It seems to be a dead language I don't know how to read.+__
There is one word on here that's colored in red.+__
It reads "effingo".+ I hope I pronounced it properly.+__</t>
  </si>
  <si>
    <t>Are you sure?+ I don't know what could happen if I type the wrong code but I don't want to find out.+__
You're confident?+__</t>
  </si>
  <si>
    <t>Okay, what first letter should I type?+__
it's the "CITY NAME" thing, right?+__</t>
  </si>
  <si>
    <t>...+I'm shaking of fear, but I need to concentrate to click on the right button...+__
*b#ip*...+__
Oh yes! it didn't explode or anything, so we may be on the right path!+__
The second letter was "ARTIST NAME".+__</t>
  </si>
  <si>
    <t>If I die because of this, I'll kill you, remember that...+__
*b#ip*...+__
Another success!+ You're really good at that!+__
Now for the last letter, it's "TRANSLATED IN ENGLISH".+__</t>
  </si>
  <si>
    <t>*BU#ZZ*...+ That wasn't a reassuring sou-__
&amp;PASSWORD INCORRECT.+ ENGAGING ANTI-INTRUDER PROTOCOL.=+__
...W-+What?+ What does that even mean?+__
*cough*+ You gave me the wrong letter!+__
*cough*+ Why is everything get-*cough*+ getting blurry?+__</t>
  </si>
  <si>
    <t>*cough COUGH*+__
I c...*cough*+ I can't breath!+__
*cough*+ *COUGH COUGH*+__
arhh...+__
...+__</t>
  </si>
  <si>
    <t>...+__
--SIGNAL LOST--+__</t>
  </si>
  <si>
    <t>Please be right, please be right, please be right...+__
*b#ip*...+__
*CLICK*+ The door... is unlocked!+__
I don't know what I'll find here, but I'm going inside anyway..+__
*door squeak*+__</t>
  </si>
  <si>
    <t>For now, all is see are stairs going deep down...+__
But I hope that I'll found this fuse to activate the trapdoor in the outside.+__
Or at least answers for why I'm here.+__</t>
  </si>
  <si>
    <t>That's not reassuring to say pal...+__
What if there's no fuse?+ Guess I'll die slowly, starving, while you're here listening to my agony.+__
Would you be here to support here in my final moments?+__</t>
  </si>
  <si>
    <t>Ahah!+ That was supposed to be a joke!+__
I admit  that I won't be able to handle that on side anyway.+__
But if you're willing to hear me die, I guess that's okay!+ If that's not because of a twisted fantasy of yours...+__</t>
  </si>
  <si>
    <t>Oh.+ Uhm...+__
Of course you have a life, I don't want to disturb you with my boring imminent death...+__</t>
  </si>
  <si>
    <t>Ahah!+ Of course you're not!+ That was a joke!+__
Don't worry about it, if I ever find myself in this kind of situation, I don't you to suffer it too.+__</t>
  </si>
  <si>
    <t>...+If we put together the door system and the tidiness of this museum compared to the other buildings...+__
Yes, I think I'm about to meet the ones responsible of all my troubles.+__
I don't know what their project is, but I'm sure I'll soon find out if I speak directly to them.+__</t>
  </si>
  <si>
    <t>Don't you think that I considered this possibility?+__
Of course they don't want me to go!+ But I have nothing to stop them other than trying to talk them out.+__
Hostile or not, here I come!+__</t>
  </si>
  <si>
    <t>That's what I thought.+__
If they put me there in the first place, there is a reason, and I don't they did all of that just for fun.+__
There is a meaning behind all of this mess I've been through and I want to know about it.+__
And if they can free me in the process, it would be nice too.+__</t>
  </si>
  <si>
    <t>I guess I'll be jumping right into it then!+__
I have no choice anyway. It's my only hope to get out of this island.+__</t>
  </si>
  <si>
    <t>Too bad you're not me and that I can make decisions on my own!+__
I've been on this island for hours and I know there is no way out outside.+__
It's too late to change my mind.+__</t>
  </si>
  <si>
    <t>Yes, it is, and I totally understand that I'll be the only one responsible for the consequences of this decision.+__
But I still count on you to help me here.+__</t>
  </si>
  <si>
    <t>I'm down the stairs.+ It see-*SHKRRRRRRRRRR*+__
There's multiple corridor leading to-*SHKRRRRRRRRRR*...+ I don't know which one is the right one!+__</t>
  </si>
  <si>
    <t>Hell-*SHKRRRRRRRRRRR*-ou hear me?+__
Why did you stop spea-*SHKRRRRRRRRRRRR*+__</t>
  </si>
  <si>
    <t>SPEAK TO M-*SHKRRRRRRRR*+__
I don-*SHKRRRRR*-ear you!+__
%#hE cAn'T hEaR+ yOu AnYmOrE, BuT+ i cAn hELP hiM.#=+__</t>
  </si>
  <si>
    <t>Where should I g-*SHKRRRRRRRRRR*__
%#i'M a+ FriEnd. TrUsT mE aNd+ hE wOn'T bE HuRt.#=+__</t>
  </si>
  <si>
    <t>%#I hAvE nO pRooF+ tO pRoVide, But hE'LL bE hUrT+ iF yoU dO nOtHinG.#=__
*SHKRRRRRRR*-move forward?+__</t>
  </si>
  <si>
    <t>%#JuSt aNsWeR tO mY+ qUeStiOns. yOu'Re+ ready?#=__
*SHKRRRRRRR*-what to do...+__</t>
  </si>
  <si>
    <t>%#iF yOu kNew whAt+ tHis CaLL wAs aBoUt, woULd YoU+ haVe AnSwErED to iT?#=+__</t>
  </si>
  <si>
    <t>YES</t>
  </si>
  <si>
    <t>%#tO sAvE tHe wOrLd, woULd+ yOu SaCriFice the oNe yoU hELp siNcE tHe+ bEgiNNinG?#=+__</t>
  </si>
  <si>
    <t>%#iF yOu wErE aT iT's PLacE, wOuLd yOu hAVe tRusTed ThE oNe bEhiND thE pHonE yOu FoUnD?#=+__</t>
  </si>
  <si>
    <t>%#ThaT wiLL dO... tHaNks fOr yOuR hELp.=+__
...*SHKRRRR*-ello?+ Hey?+__
Can you hear me?+__</t>
  </si>
  <si>
    <t>I...+ I heard everything.+__
Were you sincere while answering these questions?+__</t>
  </si>
  <si>
    <t>Wow!+ I knew you were someone I could trust!+__
But who was the one asking you these questions?</t>
  </si>
  <si>
    <t>Yeah, as if you could pretend that!+__
Anyway, let's focus on the most important question : WHO WAS THAT?+__</t>
  </si>
  <si>
    <t>Are you serious?...+__
You know what forget it...+ The most important think is who the fuck was this person asking you all this?+__</t>
  </si>
  <si>
    <t>Of course you don't...+__
The more I realise the situation I'm in, the less I think all of this makes sense...+__
Anyway, I'm inside a complex of whitish corridors, the-*footsteps*...+__
Wait...+ Those footsteps weren't mine...</t>
  </si>
  <si>
    <t>yes</t>
  </si>
  <si>
    <t xml:space="preserve">*footsteps* It's getting closer!
*SLAM*...+__
I locked myself inside a room...+ I think I'm safe n-__
&amp;It's useless to hide you know?+ I know where you are at all time=+__
</t>
  </si>
  <si>
    <t>&amp;No matter what your friend says, it's just between me and you subject 835...=+__
&amp;You bypassed what I've prepared for you by entering the museum. It never happened before!=+__
W-Who are you calling subject 835?</t>
  </si>
  <si>
    <t>&amp;Subject 835?+ That's you of course!=+__
&amp;You're no more than a pale copy of the one you're calling on this phone right now.=+__
W-Wait...+ What?+ A copy you say?+__
&amp;A clone, if you prefer this term.=+__</t>
  </si>
  <si>
    <t xml:space="preserve">No...+ It's impossible!+ YOU'RE LYING!+__
&amp;...I expected this kind of reaction.+ Why do you think you and the original behind this call have the same voice?=+__
&amp;Didn't it strike you at first that he was the only contact on this phone?=+__
</t>
  </si>
  <si>
    <t>&amp;I'm telling you the truth.+ It might seem troubling but you have to accept that you're just a mere reproduction.=+__
&amp;But why would it matter?+ You're now the perfect subject I was waiting for.=+__
...+What do you mean by...+ The perfect subject?+__</t>
  </si>
  <si>
    <t>&amp;Do you think I prepared all of this for fun?=+__
&amp; I'm not some kind of sicko who likes to see 832 clones die before my eyes just for my own entertainment.=+__
...+832?...</t>
  </si>
  <si>
    <t>&amp;Not all.+ I just said that you were subject 835.+ 3 are still alive to this day.=+__
&amp;One was not able to handle the virus. However he managed to take out his tracker and he's still roaming outside.=+__
&amp;He was responsible for the death of some clones because of his hostility.=+__
&amp;The other one was immune, but he managed to bypass my security and to free himself.=+__</t>
  </si>
  <si>
    <t>&amp;Oh?+ He contacted you?+ How curious, this must mean he's still on the island.=+__
%#dOn'T tRuSt+ HiM. aLL oF tHeSe dEAThS+ iS BeCaUSe oF HiM#=+__
...+I can't believe all that...+ Why am I here!+ TELL ME WHY DID YOU MADE ME!+__</t>
  </si>
  <si>
    <t>&amp;I understand your confusion.+ But the survival of humankind is at stake at this very moment.=+__
&amp;A virus is spreading, and it's undetectable.+ I called it the Emotoxin.+ No one believed me.=+__
&amp;It decuplates the instensity of our emotions, causing us to burst out of rage, euphoria or feel miserable.=+__
...+And in what way could this cause the end of humankind?+__</t>
  </si>
  <si>
    <t>&amp;You should see how an infected acts.=+__
&amp;In our world filled with hate, it would cause people to kill each other over a small argument.=+__
...+I'm no infected right?+ So why would you do all that in the first place!+__
Why not use a labrat instead of killing HUNDREDS OF HUMANS!+__</t>
  </si>
  <si>
    <t>&amp;The Emotoxin only affects humans. So I preffered to base my search on clones instead of real humans.=+__
&amp;I chose to clone you because your DNA was highly compatible with cloning and resistent to the Emotoxin structure.=+__
&amp;All these puzzles were tests to see if you were affected by the toxin by playing with your emotions.=+__
&amp;I think it might be time to get out of this room now.+ I need your blood.=+__</t>
  </si>
  <si>
    <t>Y-Yes!+ I'M STAYING INSIDE YOU PSYCHOPATH!+__
I'M NOT GOING TO LET YOU SUCK MY BLOOD!+ I MAY BE A CLONE BUT I'M NOT BELIEVING ALL THIS SHIT!+__
&amp;...+Hmmm...+ Unfortunatly for you, I anticipated this kind of reaction.=+__
&amp;What are your last words?=+__
Y-You're bluffing!+ I'm not going to fall for this eith-*PSHHHHHHHHHH*+__</t>
  </si>
  <si>
    <t>...+OH SHIT!+ THERE'S GREEN GAS SPREADING IN THE ROOM!+__
*door shake*+__
LET ME OUT, THIS FUCKER LOCKED THE DOOR!+__
&amp;You made your own choices you and your friend.+ Now you'll have to accept the consequences.=+__
*cough*...No!...+*cough cough*+__
.+.+.+_</t>
  </si>
  <si>
    <t>...+__
&amp;Remember.+ One died so that billions live.=+__
...+__
--SIGNAL LOST--+__
&amp;{YOU CHOSE TO BLIND YOURSELF FROM THE TRUTH. BUT COULD YOU SAVE EVERYONE?}=+__
CORNERED ENDING+__</t>
  </si>
  <si>
    <t>N-NO!+ I WON'T FOLLOW HIM!+
I DON'T TRUST YOU ANYMORE!+ You were plotting with him since the beggining right?+__
*SLAM* &amp;OUCH!=+ I'M GETTING OUT OF HERE!+__
*fast footsteps*+__</t>
  </si>
  <si>
    <t>Everything makes sense for me now!+ You were planning all of this with him! *fast footsteps*+__
huff...+ Whot tells me you're not on this island too, monitoring me in one of these rooms?+__</t>
  </si>
  <si>
    <t>LIAR!+__
You could be behind THIS DOOR *SLAM*...+_
Ooooor THIS DOOR *SLAM*...+__
...+ahAH! Just as I thought, a monitoring room!+__
You were here before huh?+ Planning for the next puzzle and acting as if you were discovering it with me.+__</t>
  </si>
  <si>
    <t>You're the crazy one here, cloning yourself and watch you suffer with this mad scientist!+__
...+Oh!+ Look!+ How unfortunate for you!+__
"This button should only be used in case that the Emotoxin breaches out.+__
The explosion will eradicate all living organism in a 5 kilometers"+__
...+You really put a self-destruct button here?+ Too bad, because I'm going to press it.+__</t>
  </si>
  <si>
    <t>AND I WILL ALSO KILL YOU AND YOUR SCIENTIST FRIEND!+__
I will end this whole madness!+ Hundreds of different versions of you were killed.+ THEY HAD FEELINGS YOU KNOW?!+__
I'm willing to sacrifice, as a revenge for all the ones that suffered before me.+__</t>
  </si>
  <si>
    <t>Have a good death, original.+__
*click*+__
.+.+.+__
*BOOOOOOOOOSBQIFDDJUFJNFQSJDHOQBFJPIOSHQSJDBD...+__</t>
  </si>
  <si>
    <t>...+__
--SIGNAL LOST--+__
&amp;{YOU MADE HIM DOUBT. COULD YOU SAVE THEM ALL IF HE TRUSTED YOU MORE?}=+__
WIPED ENDING+__</t>
  </si>
  <si>
    <t>...+Is it really for the survival of humanity?+ It's not a trick so that I get out and you can shoot me easily?+__
&amp;Absolutely not.+ I care for my research, and I wouldn't waste any of my bullets or any of your blood.=+__
...+*door opening*...+ &amp;So you opened.=+__
I don't know what you mean by "needing my blood" but I assume this will not be pleasurable?+__
&amp;You guessed it. But I will do what's possible to keep you alive after that?=+__</t>
  </si>
  <si>
    <t>&amp;Good.+ Now, original, you'll excuse us but we have to end the call here.+ I have to borrow this clone.=+__
W-Wait... I have a question.+ Why did you make us contact each other?+__
&amp;I needed a full panel of your emotions right when I knew that you were the right one.=+__
&amp;There was no better options than using yourself as to stimulate every aspect of your personnality.=+__
&amp;Talking to yourself shows how the human behaviour is not absolute for a single person.=+__
&amp;The gap between what we think we'd do and what we actually do is indeterminatable.=+__
&amp;By calling the original, you could explore every aspect of yourself..=+__</t>
  </si>
  <si>
    <t>&amp;I'm a scientist, not a social expert.+ Now, original,  we have to end the call here.+ I have to borrow this clone.=+__
W-Wait... I have a question.+ Why did you make us contact each other?+__
&amp;I needed a full panel of your emotions right when I knew that you were the right one.=+__
&amp;There was no better options than using yourself as to stimulate every aspect of your personnality.=+__
&amp;Talking to yourself shows how the human behaviour is not absolute for a single person.=+__
&amp;The gap between what we think we'd do and what we actually do is indeterminatable.=+__
&amp;By calling the original, you could explore every aspect of yourself..=+__</t>
  </si>
  <si>
    <t>&amp;Confusing, I know.+ Even if I vulgarise the terms, it's still a concept most won't understand.=+__
...+__
One more thing.+ Can I talk one last time with the original?+__
&amp;Go on.+ I've waited years for you to exist, so I can wait one more minute.=+__
...+Hey...+__</t>
  </si>
  <si>
    <t>You bet it was!+ That's unfortunate that we have to end on this "save the humanity" tone...+__
But I guess we can't do anything about it.+__
The world chose you to be immune.+ And by you, that includes me...+__</t>
  </si>
  <si>
    <t>ahah!+ I guess you're right!+__
...+Thank you for staying with me...+ I know I was just a random call of a stranger at the beginning but...+__
But I hope I'll be able to call you again one day.+ We'll be able to eat something at your favorite restaurant!+__
I know which one it is since I've got the same memories than you eheh!+__</t>
  </si>
  <si>
    <t>ahahah!+ That's tru-__
&amp;We have to go.=+__
O-Oh...+ Well, I guess it's a goodbye.+__
I really hope to see you again.+ Until now, believe in yourself.+ I know we're great people.+__</t>
  </si>
  <si>
    <t>I-I'm hanging up+ *sob*+__
*click*....+__
.+.+.+__
--SIGNAL LOST--+__
&amp;{EVERYONE IS SAVED. BUT IS THE MYSTERY SOLVED?}=+__
TRUE ENDING+__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</si>
</sst>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4"/>
      <color rgb="FF000000"/>
      <name val="Calibri"/>
      <scheme val="minor"/>
    </font>
    <font>
      <b/>
      <sz val="14"/>
      <color rgb="FF000000"/>
      <name val="Calibri"/>
      <charset val="1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sz val="72"/>
      <color rgb="FFFF0000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name val="Calibri"/>
      <family val="2"/>
      <scheme val="minor"/>
    </font>
    <font>
      <sz val="72"/>
      <color theme="4"/>
      <name val="Calibri"/>
      <family val="2"/>
      <scheme val="minor"/>
    </font>
    <font>
      <sz val="72"/>
      <color rgb="FF000000"/>
      <name val="Calibri"/>
      <family val="2"/>
      <scheme val="minor"/>
    </font>
    <font>
      <sz val="72"/>
      <color theme="5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8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vertical="top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vertical="top" wrapText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2"/>
  <sheetViews>
    <sheetView showFormulas="1" tabSelected="1" topLeftCell="A108" zoomScale="85" zoomScaleNormal="85" workbookViewId="0">
      <selection activeCell="D112" sqref="D112"/>
    </sheetView>
  </sheetViews>
  <sheetFormatPr defaultColWidth="35.85546875" defaultRowHeight="168" customHeight="1"/>
  <cols>
    <col min="1" max="1" width="20.7109375" style="2" customWidth="1"/>
    <col min="2" max="2" width="19.28515625" style="9" customWidth="1"/>
    <col min="3" max="3" width="54.42578125" style="7" customWidth="1"/>
    <col min="4" max="8" width="58.7109375" style="6" customWidth="1"/>
    <col min="9" max="9" width="15.140625" customWidth="1"/>
  </cols>
  <sheetData>
    <row r="1" spans="1:10" s="5" customFormat="1" ht="24" customHeight="1">
      <c r="A1" s="3" t="s">
        <v>0</v>
      </c>
      <c r="B1" s="13" t="s">
        <v>1</v>
      </c>
      <c r="C1" s="4" t="s">
        <v>2</v>
      </c>
      <c r="D1" s="11" t="s">
        <v>3</v>
      </c>
      <c r="E1" s="11" t="s">
        <v>4</v>
      </c>
      <c r="F1" s="11" t="s">
        <v>5</v>
      </c>
      <c r="G1" s="12" t="s">
        <v>6</v>
      </c>
      <c r="H1" s="11" t="s">
        <v>7</v>
      </c>
      <c r="I1" s="4" t="s">
        <v>8</v>
      </c>
      <c r="J1" s="4" t="s">
        <v>9</v>
      </c>
    </row>
    <row r="2" spans="1:10" ht="168" customHeight="1">
      <c r="A2" s="1">
        <v>1</v>
      </c>
      <c r="C2" s="6" t="s">
        <v>10</v>
      </c>
      <c r="D2" s="6" t="str">
        <f>"&lt;(" &amp; A3  &amp; ")1 - How much time will it take to get there?"  &amp; "__"</f>
        <v>&lt;(2)1 - How much time will it take to get there?__</v>
      </c>
    </row>
    <row r="3" spans="1:10" ht="168" customHeight="1">
      <c r="A3" s="2">
        <v>2</v>
      </c>
      <c r="C3" s="6" t="s">
        <v>11</v>
      </c>
      <c r="D3" s="6" t="str">
        <f>"&lt;(" &amp; A4  &amp; ") 1 - Small?"  &amp; "__"</f>
        <v>&lt;(3) 1 - Small?__</v>
      </c>
      <c r="E3" s="6" t="str">
        <f>"&lt;(" &amp; A5  &amp; ") 2 - Well preserved?"  &amp; "__"</f>
        <v>&lt;(4) 2 - Well preserved?__</v>
      </c>
    </row>
    <row r="4" spans="1:10" ht="168" customHeight="1">
      <c r="A4" s="8">
        <v>3</v>
      </c>
      <c r="B4" s="10"/>
      <c r="C4" s="6" t="s">
        <v>12</v>
      </c>
      <c r="D4" s="6" t="str">
        <f>"&lt;(" &amp; A15  &amp; ") 1 - Well, you might as well go and see inside to be sure! ;13"  &amp; "__"</f>
        <v>&lt;(14) 1 - Well, you might as well go and see inside to be sure! ;13__</v>
      </c>
      <c r="E4" s="6" t="str">
        <f>"&lt;(" &amp; A14  &amp; ") 1 - Why are you doubting all of a sudden?"  &amp; "__"</f>
        <v>&lt;(13) 1 - Why are you doubting all of a sudden?__</v>
      </c>
    </row>
    <row r="5" spans="1:10" ht="168" customHeight="1">
      <c r="A5" s="2">
        <v>4</v>
      </c>
      <c r="C5" s="6" t="s">
        <v>13</v>
      </c>
      <c r="D5" s="6" t="str">
        <f>"&lt;(" &amp; A6  &amp; ") 1 - Nah. Why would someone want to clean an old museum anyway? It's a coincidence. @"  &amp; "__"</f>
        <v>&lt;(5) 1 - Nah. Why would someone want to clean an old museum anyway? It's a coincidence. @__</v>
      </c>
      <c r="E5" s="6" t="str">
        <f>"&lt;(" &amp; A7  &amp; ") 2 - I guess there is, why would it be cleaner than the other building otherwise?"  &amp; "__"</f>
        <v>&lt;(6) 2 - I guess there is, why would it be cleaner than the other building otherwise?__</v>
      </c>
    </row>
    <row r="6" spans="1:10" ht="168" customHeight="1">
      <c r="A6" s="2">
        <v>5</v>
      </c>
      <c r="C6" s="6" t="s">
        <v>14</v>
      </c>
      <c r="D6" s="6" t="str">
        <f>"&lt;(" &amp; A7  &amp; ") 1 - You're afraid of seeing someone now?"  &amp; "__"</f>
        <v>&lt;(6) 1 - You're afraid of seeing someone now?__</v>
      </c>
      <c r="E6" s="6" t="str">
        <f>"&lt;(" &amp; A8  &amp; ") 2 - Well, don't enter it then. |"  &amp; "__"</f>
        <v>&lt;(7) 2 - Well, don't enter it then. |__</v>
      </c>
      <c r="F6" s="6" t="str">
        <f>"&lt;(" &amp; A9  &amp; ") 3 - Sorry to announce that, but it doesn't seem that you have the choice..."  &amp; "__"</f>
        <v>&lt;(8) 3 - Sorry to announce that, but it doesn't seem that you have the choice...__</v>
      </c>
    </row>
    <row r="7" spans="1:10" ht="168" customHeight="1">
      <c r="A7" s="2">
        <v>6</v>
      </c>
      <c r="C7" s="6" t="s">
        <v>15</v>
      </c>
      <c r="D7" s="6" t="str">
        <f>"&lt;(" &amp; A10  &amp; ") 1 - I knew it! You're chicken-hearted! |"  &amp; "__"</f>
        <v>&lt;(9) 1 - I knew it! You're chicken-hearted! |__</v>
      </c>
      <c r="E7" s="6" t="str">
        <f>"&lt;(" &amp; A9  &amp; ") 2 - Everything's gonna be fine as long as we collaborate. @"  &amp; "__"</f>
        <v>&lt;(8) 2 - Everything's gonna be fine as long as we collaborate. @__</v>
      </c>
    </row>
    <row r="8" spans="1:10" ht="168" customHeight="1">
      <c r="A8" s="14">
        <v>7</v>
      </c>
      <c r="C8" s="6" t="s">
        <v>16</v>
      </c>
      <c r="D8" s="6" t="str">
        <f>"&lt;(" &amp; A9  &amp; ") 1 - You're not in danger as long as I'm with you!@"  &amp; "__"</f>
        <v>&lt;(8) 1 - You're not in danger as long as I'm with you!@__</v>
      </c>
      <c r="E8" s="6" t="str">
        <f>"&lt;(" &amp; A10  &amp; ") 2 - I knew you were chicken-hearted!"  &amp; "__"</f>
        <v>&lt;(9) 2 - I knew you were chicken-hearted!__</v>
      </c>
    </row>
    <row r="9" spans="1:10" ht="168" customHeight="1">
      <c r="A9" s="14">
        <v>8</v>
      </c>
      <c r="C9" s="6" t="s">
        <v>17</v>
      </c>
      <c r="D9" s="6" t="str">
        <f>"&lt;(" &amp; A16  &amp; ") 1 - Is there something weird in here?"  &amp; "__"</f>
        <v>&lt;(15) 1 - Is there something weird in here?__</v>
      </c>
    </row>
    <row r="10" spans="1:10" ht="168" customHeight="1">
      <c r="A10" s="14">
        <v>9</v>
      </c>
      <c r="C10" s="6" t="s">
        <v>18</v>
      </c>
      <c r="D10" s="6" t="str">
        <f>"&lt;(" &amp; A11  &amp; ") 1 - Shhhh!! What if there's really someone here? |"  &amp; "__"</f>
        <v>&lt;(10) 1 - Shhhh!! What if there's really someone here? |__</v>
      </c>
      <c r="E10" s="6" t="str">
        <f>"&lt;(" &amp; A12  &amp; ") 2 - That's more like it!"  &amp; "__"</f>
        <v>&lt;(11) 2 - That's more like it!__</v>
      </c>
    </row>
    <row r="11" spans="1:10" ht="168" customHeight="1">
      <c r="A11" s="14">
        <v>10</v>
      </c>
      <c r="C11" s="6" t="s">
        <v>19</v>
      </c>
      <c r="D11" s="6" t="str">
        <f>"&lt;(" &amp; A16  &amp; ") 1 - What makes you feel like that?"  &amp; "__"</f>
        <v>&lt;(15) 1 - What makes you feel like that?__</v>
      </c>
    </row>
    <row r="12" spans="1:10" ht="168" customHeight="1">
      <c r="A12" s="14">
        <v>11</v>
      </c>
      <c r="C12" s="6" t="s">
        <v>20</v>
      </c>
      <c r="D12" s="6" t="str">
        <f>"&lt;(" &amp; A13  &amp; ") 1 - Well... I am@"  &amp; "__"</f>
        <v>&lt;(12) 1 - Well... I am@__</v>
      </c>
    </row>
    <row r="13" spans="1:10" ht="168" customHeight="1">
      <c r="A13" s="14">
        <v>12</v>
      </c>
      <c r="C13" s="6" t="s">
        <v>21</v>
      </c>
      <c r="D13" s="6" t="str">
        <f>"&lt;(" &amp; A16  &amp; ") 1 - What about it?"  &amp; "__"</f>
        <v>&lt;(15) 1 - What about it?__</v>
      </c>
    </row>
    <row r="14" spans="1:10" ht="168" customHeight="1">
      <c r="A14" s="14">
        <v>13</v>
      </c>
      <c r="C14" s="6" t="s">
        <v>22</v>
      </c>
      <c r="D14" s="6" t="str">
        <f>"&lt;(" &amp; A7  &amp; ") 1 - You're afraid of seeing someone now?"  &amp; "__"</f>
        <v>&lt;(6) 1 - You're afraid of seeing someone now?__</v>
      </c>
      <c r="E14" s="6" t="str">
        <f>"&lt;(" &amp; A8  &amp; ") 2 - Well, don't enter it then. |"  &amp; "__"</f>
        <v>&lt;(7) 2 - Well, don't enter it then. |__</v>
      </c>
      <c r="F14" s="6" t="str">
        <f>"&lt;(" &amp; A9  &amp; ") 3 - Sorry to announce that, but it doesn't seem that you have the choice..."  &amp; "__"</f>
        <v>&lt;(8) 3 - Sorry to announce that, but it doesn't seem that you have the choice...__</v>
      </c>
    </row>
    <row r="15" spans="1:10" ht="168" customHeight="1">
      <c r="A15" s="14">
        <v>14</v>
      </c>
      <c r="C15" s="6" t="s">
        <v>23</v>
      </c>
      <c r="D15" s="6" t="str">
        <f>"&lt;(" &amp; A16  &amp; ") 1 - So? what's inside?"  &amp; "__"</f>
        <v>&lt;(15) 1 - So? what's inside?__</v>
      </c>
    </row>
    <row r="16" spans="1:10" ht="168" customHeight="1">
      <c r="A16" s="14">
        <v>15</v>
      </c>
      <c r="C16" s="6" t="s">
        <v>24</v>
      </c>
      <c r="D16" s="6" t="str">
        <f>"&lt;(" &amp; A17  &amp; ") 1 - That's weird..."  &amp; "__"</f>
        <v>&lt;(16) 1 - That's weird...__</v>
      </c>
      <c r="E16" s="6" t="str">
        <f>"&lt;(" &amp; A18  &amp; ") 2| - That's so cool!"  &amp; "__"</f>
        <v>&lt;(17) 2| - That's so cool!__</v>
      </c>
    </row>
    <row r="17" spans="1:6" ht="168" customHeight="1">
      <c r="A17" s="14">
        <v>16</v>
      </c>
      <c r="C17" s="6" t="s">
        <v>25</v>
      </c>
      <c r="D17" s="6" t="str">
        <f>"&lt;(" &amp; A19  &amp; ")1| - ...you're becoming paranoïd?"  &amp; "__"</f>
        <v>&lt;(18)1| - ...you're becoming paranoïd?__</v>
      </c>
      <c r="E17" s="6" t="str">
        <f>"&lt;(" &amp; A20  &amp; ")2 - ...someone's living here?"  &amp; "__"</f>
        <v>&lt;(19)2 - ...someone's living here?__</v>
      </c>
      <c r="F17" s="6" t="str">
        <f>"&lt;(" &amp; A21  &amp; ")3@ - ...that we have a new mystery to resolve!"  &amp; "__"</f>
        <v>&lt;(20)3@ - ...that we have a new mystery to resolve!__</v>
      </c>
    </row>
    <row r="18" spans="1:6" ht="168" customHeight="1">
      <c r="A18" s="14">
        <v>17</v>
      </c>
      <c r="C18" s="6" t="s">
        <v>26</v>
      </c>
      <c r="D18" s="6" t="str">
        <f>"&lt;(" &amp; A19  &amp; ")1| - You're definitly becoming paranoïd"  &amp; "__"</f>
        <v>&lt;(18)1| - You're definitly becoming paranoïd__</v>
      </c>
      <c r="E18" s="6" t="str">
        <f>"&lt;(" &amp; A20  &amp; ")2 - Is... someone living here?"  &amp; "__"</f>
        <v>&lt;(19)2 - Is... someone living here?__</v>
      </c>
      <c r="F18" s="6" t="str">
        <f>"&lt;(" &amp; A21  &amp; ")3@ - Seems that we'll have to solve this mystery together!"  &amp; "__"</f>
        <v>&lt;(20)3@ - Seems that we'll have to solve this mystery together!__</v>
      </c>
    </row>
    <row r="19" spans="1:6" ht="168" customHeight="1">
      <c r="A19" s="14">
        <v>18</v>
      </c>
      <c r="C19" s="6" t="s">
        <v>27</v>
      </c>
      <c r="D19" s="6" t="str">
        <f>"&lt;(" &amp; A22  &amp; ")1| - I think I would be braver than you!"  &amp; "__"</f>
        <v>&lt;(21)1| - I think I would be braver than you!__</v>
      </c>
      <c r="E19" s="6" t="str">
        <f>"&lt;(" &amp; A23  &amp; ")2@ - I think I'd manage things like you"  &amp; "__"</f>
        <v>&lt;(22)2@ - I think I'd manage things like you__</v>
      </c>
      <c r="F19" s="6" t="str">
        <f>"&lt;(" &amp; A24  &amp; ")3 - I'd be... more fearful than you..."  &amp; "__"</f>
        <v>&lt;(23)3 - I'd be... more fearful than you...__</v>
      </c>
    </row>
    <row r="20" spans="1:6" ht="168" customHeight="1">
      <c r="A20" s="14">
        <v>19</v>
      </c>
      <c r="C20" s="6" t="s">
        <v>28</v>
      </c>
      <c r="D20" s="6" t="str">
        <f>"&lt;(" &amp; A25  &amp; ")1@ - Calm Down.That doesn't justify any panic"  &amp; "__"</f>
        <v>&lt;(24)1@ - Calm Down.That doesn't justify any panic__</v>
      </c>
      <c r="E20" s="6" t="str">
        <f>"&lt;(" &amp; A26  &amp; ")2| - Don't throw up on the art please"  &amp; "__"</f>
        <v>&lt;(25)2| - Don't throw up on the art please__</v>
      </c>
      <c r="F20" s="6" t="str">
        <f>"&lt;(" &amp; A27  &amp; ")3| - I was joking around! There's surely not anyone here"  &amp; "__"</f>
        <v>&lt;(26)3| - I was joking around! There's surely not anyone here__</v>
      </c>
    </row>
    <row r="21" spans="1:6" ht="168" customHeight="1">
      <c r="A21" s="14">
        <v>20</v>
      </c>
      <c r="C21" s="6" t="s">
        <v>29</v>
      </c>
      <c r="D21" s="6" t="str">
        <f>"&lt;(" &amp; A28  &amp; ")1 - What is around you again?"  &amp; "__"</f>
        <v>&lt;(27)1 - What is around you again?__</v>
      </c>
    </row>
    <row r="22" spans="1:6" ht="168" customHeight="1">
      <c r="A22" s="14">
        <v>21</v>
      </c>
      <c r="C22" s="6" t="s">
        <v>30</v>
      </c>
      <c r="D22" s="6" t="str">
        <f>"&lt;(" &amp; A28  &amp; ")1 - What is around you again?"  &amp; "__"</f>
        <v>&lt;(27)1 - What is around you again?__</v>
      </c>
    </row>
    <row r="23" spans="1:6" ht="168" customHeight="1">
      <c r="A23" s="16">
        <v>22</v>
      </c>
      <c r="C23" s="17" t="s">
        <v>31</v>
      </c>
      <c r="D23" s="6" t="str">
        <f>"&lt;(" &amp; A28  &amp; ")1 - What is around you again?"  &amp; "__"</f>
        <v>&lt;(27)1 - What is around you again?__</v>
      </c>
    </row>
    <row r="24" spans="1:6" ht="168" customHeight="1">
      <c r="A24" s="8">
        <v>23</v>
      </c>
      <c r="C24" s="6" t="s">
        <v>32</v>
      </c>
      <c r="D24" s="6" t="str">
        <f>"&lt;(" &amp; A28  &amp; ")1 - What is around you again?"  &amp; "__"</f>
        <v>&lt;(27)1 - What is around you again?__</v>
      </c>
    </row>
    <row r="25" spans="1:6" ht="168" customHeight="1">
      <c r="A25" s="16">
        <v>24</v>
      </c>
      <c r="C25" s="6" t="s">
        <v>33</v>
      </c>
      <c r="D25" s="6" t="str">
        <f>"&lt;(" &amp; A28  &amp; ")1 - What is around you again?"  &amp; "__"</f>
        <v>&lt;(27)1 - What is around you again?__</v>
      </c>
    </row>
    <row r="26" spans="1:6" ht="168" customHeight="1">
      <c r="A26" s="8">
        <v>25</v>
      </c>
      <c r="C26" s="6" t="s">
        <v>34</v>
      </c>
      <c r="D26" s="6" t="str">
        <f>"&lt;(" &amp; A28  &amp; ")1 - What is around you again?"  &amp; "__"</f>
        <v>&lt;(27)1 - What is around you again?__</v>
      </c>
    </row>
    <row r="27" spans="1:6" ht="168" customHeight="1">
      <c r="A27" s="14">
        <v>26</v>
      </c>
      <c r="C27" s="6" t="s">
        <v>35</v>
      </c>
      <c r="D27" s="6" t="str">
        <f>"&lt;(" &amp; A28  &amp; ")1 - What is around you again?"  &amp; "__"</f>
        <v>&lt;(27)1 - What is around you again?__</v>
      </c>
    </row>
    <row r="28" spans="1:6" ht="168" customHeight="1">
      <c r="A28" s="14">
        <v>27</v>
      </c>
      <c r="C28" s="6" t="s">
        <v>36</v>
      </c>
      <c r="D28" s="6" t="str">
        <f>"&lt;(" &amp; A29  &amp; ")1 - Go and see the paintings"  &amp; "__"</f>
        <v>&lt;(28)1 - Go and see the paintings__</v>
      </c>
      <c r="E28" s="6" t="str">
        <f>"&lt;(" &amp; A30  &amp; ") 2 - Go and see the sculpture"  &amp; "__"</f>
        <v>&lt;(29) 2 - Go and see the sculpture__</v>
      </c>
      <c r="F28" s="6" t="str">
        <f>"&lt;(" &amp; A31  &amp; ") 3 - Go and see the inscriptions on the rock"  &amp; "__"</f>
        <v>&lt;(30) 3 - Go and see the inscriptions on the rock__</v>
      </c>
    </row>
    <row r="29" spans="1:6" ht="168" customHeight="1">
      <c r="A29" s="15">
        <v>28</v>
      </c>
      <c r="C29" s="6" t="s">
        <v>37</v>
      </c>
      <c r="D29" s="6" t="str">
        <f>"&lt;(" &amp; A32  &amp; ")1 - Is there something else than art here?"  &amp; "__"</f>
        <v>&lt;(31)1 - Is there something else than art here?__</v>
      </c>
      <c r="E29" s="6" t="str">
        <f>"&lt;(" &amp; A40  &amp; ")2 - Can you describe it more precisely?"  &amp; "__"</f>
        <v>&lt;(39)2 - Can you describe it more precisely?__</v>
      </c>
    </row>
    <row r="30" spans="1:6" ht="168" customHeight="1">
      <c r="A30" s="15">
        <v>29</v>
      </c>
      <c r="C30" s="6" t="s">
        <v>38</v>
      </c>
      <c r="D30" s="6" t="str">
        <f>"&lt;(" &amp; A32  &amp; ")1 - Is there something else than art here?"  &amp; "__"</f>
        <v>&lt;(31)1 - Is there something else than art here?__</v>
      </c>
      <c r="E30" s="6" t="str">
        <f>"&lt;(" &amp; A41  &amp; ")2 - Can you describe it more precisely?"  &amp; "__"</f>
        <v>&lt;(40)2 - Can you describe it more precisely?__</v>
      </c>
    </row>
    <row r="31" spans="1:6" ht="168" customHeight="1">
      <c r="A31" s="15">
        <v>30</v>
      </c>
      <c r="C31" s="6" t="s">
        <v>39</v>
      </c>
      <c r="D31" s="6" t="str">
        <f>"&lt;(" &amp; A32  &amp; ")1 - Is there something else than art here?"  &amp; "__"</f>
        <v>&lt;(31)1 - Is there something else than art here?__</v>
      </c>
      <c r="E31" s="6" t="str">
        <f>"&lt;(" &amp; A42  &amp; ")2 - Can you describe it more precisely?"  &amp; "__"</f>
        <v>&lt;(41)2 - Can you describe it more precisely?__</v>
      </c>
    </row>
    <row r="32" spans="1:6" ht="168" customHeight="1">
      <c r="A32" s="15">
        <v>31</v>
      </c>
      <c r="C32" s="6" t="s">
        <v>40</v>
      </c>
      <c r="D32" s="6" t="str">
        <f>"&lt;(" &amp; A33  &amp; ")1 - What's going on?"  &amp; "__"</f>
        <v>&lt;(32)1 - What's going on?__</v>
      </c>
    </row>
    <row r="33" spans="1:8" ht="168" customHeight="1">
      <c r="A33" s="15">
        <v>32</v>
      </c>
      <c r="C33" s="6" t="s">
        <v>41</v>
      </c>
      <c r="D33" s="6" t="str">
        <f>"&lt;(" &amp; A34  &amp; ")1 - It must be a secret escape!"  &amp; "__"</f>
        <v>&lt;(33)1 - It must be a secret escape!__</v>
      </c>
      <c r="E33" s="6" t="str">
        <f>"&lt;(" &amp; A34  &amp; ")2 - Watch out, it might be trapped"  &amp; "__"</f>
        <v>&lt;(33)2 - Watch out, it might be trapped__</v>
      </c>
    </row>
    <row r="34" spans="1:8" ht="168" customHeight="1">
      <c r="A34" s="15">
        <v>33</v>
      </c>
      <c r="C34" s="6" t="s">
        <v>42</v>
      </c>
      <c r="D34" s="6" t="str">
        <f>"&lt;(" &amp; A35  &amp; ")1 - Can you read it for me?"  &amp; "__"</f>
        <v>&lt;(34)1 - Can you read it for me?__</v>
      </c>
    </row>
    <row r="35" spans="1:8" ht="168" customHeight="1">
      <c r="A35" s="15">
        <v>34</v>
      </c>
      <c r="C35" s="6" t="s">
        <v>43</v>
      </c>
      <c r="D35" s="6" t="str">
        <f>"&lt;(" &amp; A46  &amp; ")1 - I think I might have an idea for the code"  &amp; "__"</f>
        <v>&lt;(45)1 - I think I might have an idea for the code__</v>
      </c>
      <c r="E35" s="6" t="str">
        <f>"&lt;(" &amp; A36  &amp; ")2 - What is there in the museum again?"  &amp; "__"</f>
        <v>&lt;(35)2 - What is there in the museum again?__</v>
      </c>
    </row>
    <row r="36" spans="1:8" ht="168" customHeight="1">
      <c r="A36" s="15">
        <v>35</v>
      </c>
      <c r="C36" s="6" t="s">
        <v>44</v>
      </c>
      <c r="D36" s="6" t="str">
        <f>"&lt;(" &amp; A37  &amp; ")1 - Go and see the paintings"  &amp; "__"</f>
        <v>&lt;(36)1 - Go and see the paintings__</v>
      </c>
      <c r="E36" s="6" t="str">
        <f>"&lt;(" &amp; A38  &amp; ") 2 - Go and see the sculpture"  &amp; "__"</f>
        <v>&lt;(37) 2 - Go and see the sculpture__</v>
      </c>
      <c r="F36" s="6" t="str">
        <f>"&lt;(" &amp; A39  &amp; ") 3 - Go and see the inscriptions on the rock"  &amp; "__"</f>
        <v>&lt;(38) 3 - Go and see the inscriptions on the rock__</v>
      </c>
      <c r="G36" s="6" t="s">
        <v>45</v>
      </c>
    </row>
    <row r="37" spans="1:8" ht="168" customHeight="1">
      <c r="A37" s="15">
        <v>36</v>
      </c>
      <c r="C37" s="6" t="s">
        <v>46</v>
      </c>
      <c r="D37" s="6" t="str">
        <f>"&lt;(" &amp; A43  &amp; ")1 - Can I have more information about it?"  &amp; "__"</f>
        <v>&lt;(42)1 - Can I have more information about it?__</v>
      </c>
    </row>
    <row r="38" spans="1:8" ht="168" customHeight="1">
      <c r="A38" s="15">
        <v>37</v>
      </c>
      <c r="C38" s="6" t="s">
        <v>38</v>
      </c>
      <c r="D38" s="6" t="str">
        <f>"&lt;(" &amp; A44  &amp; ")1 - Can I have more information about it?"  &amp; "__"</f>
        <v>&lt;(43)1 - Can I have more information about it?__</v>
      </c>
    </row>
    <row r="39" spans="1:8" ht="168" customHeight="1">
      <c r="A39" s="15">
        <v>38</v>
      </c>
      <c r="C39" s="6" t="s">
        <v>39</v>
      </c>
      <c r="D39" s="6" t="str">
        <f>"&lt;(" &amp; A45  &amp; ")1 - Can I have more information about it?"  &amp; "__"</f>
        <v>&lt;(44)1 - Can I have more information about it?__</v>
      </c>
    </row>
    <row r="40" spans="1:8" ht="168" customHeight="1">
      <c r="A40" s="15">
        <v>39</v>
      </c>
      <c r="C40" s="6" t="s">
        <v>47</v>
      </c>
      <c r="D40" s="6" t="str">
        <f>"&lt;(" &amp; A28  &amp; ")1 - What else is here?"  &amp; "__"</f>
        <v>&lt;(27)1 - What else is here?__</v>
      </c>
    </row>
    <row r="41" spans="1:8" ht="168" customHeight="1">
      <c r="A41" s="15">
        <v>40</v>
      </c>
      <c r="C41" s="6" t="s">
        <v>48</v>
      </c>
      <c r="D41" s="6" t="str">
        <f>"&lt;(" &amp; A28  &amp; ")1 - What else is here?"  &amp; "__"</f>
        <v>&lt;(27)1 - What else is here?__</v>
      </c>
    </row>
    <row r="42" spans="1:8" ht="168" customHeight="1">
      <c r="A42" s="15">
        <v>41</v>
      </c>
      <c r="C42" s="6" t="s">
        <v>49</v>
      </c>
      <c r="D42" s="6" t="str">
        <f>"&lt;(" &amp; A28  &amp; ")1 - What else is here?"  &amp; "__"</f>
        <v>&lt;(27)1 - What else is here?__</v>
      </c>
    </row>
    <row r="43" spans="1:8" ht="168" customHeight="1">
      <c r="A43" s="15">
        <v>42</v>
      </c>
      <c r="C43" s="6" t="s">
        <v>47</v>
      </c>
      <c r="D43" s="6" t="str">
        <f>"&lt;(" &amp; A36  &amp; ")1 - Can you say again what's in here?"  &amp; "__"</f>
        <v>&lt;(35)1 - Can you say again what's in here?__</v>
      </c>
    </row>
    <row r="44" spans="1:8" ht="168" customHeight="1">
      <c r="A44" s="15">
        <v>43</v>
      </c>
      <c r="C44" s="6" t="s">
        <v>48</v>
      </c>
      <c r="D44" s="6" t="str">
        <f>"&lt;(" &amp; A36  &amp; ")1 - Can you say again what's in here?"  &amp; "__"</f>
        <v>&lt;(35)1 - Can you say again what's in here?__</v>
      </c>
    </row>
    <row r="45" spans="1:8" ht="168" customHeight="1">
      <c r="A45" s="15">
        <v>44</v>
      </c>
      <c r="C45" s="6" t="s">
        <v>49</v>
      </c>
      <c r="D45" s="6" t="str">
        <f>"&lt;(" &amp; A36  &amp; ")1 - Can you say again what's in here?"  &amp; "__"</f>
        <v>&lt;(35)1 - Can you say again what's in here?__</v>
      </c>
    </row>
    <row r="46" spans="1:8" ht="168" customHeight="1">
      <c r="A46" s="15">
        <v>45</v>
      </c>
      <c r="C46" s="6" t="s">
        <v>50</v>
      </c>
      <c r="D46" s="6" t="str">
        <f>"&lt;(" &amp; A47  &amp; ")1 - Hell yeah, show me this keypad!"  &amp; "__"</f>
        <v>&lt;(46)1 - Hell yeah, show me this keypad!__</v>
      </c>
      <c r="E46" s="6" t="str">
        <f>"&lt;(" &amp; A36  &amp; ")2 - Wait... Can we just check the museum again?"  &amp; "__"</f>
        <v>&lt;(35)2 - Wait... Can we just check the museum again?__</v>
      </c>
    </row>
    <row r="47" spans="1:8" ht="168" customHeight="1">
      <c r="A47" s="15">
        <v>46</v>
      </c>
      <c r="C47" s="6" t="s">
        <v>51</v>
      </c>
      <c r="D47" s="6" t="str">
        <f>"&lt;(" &amp; A50  &amp; ")1 - P"  &amp; "__"</f>
        <v>&lt;(49)1 - P__</v>
      </c>
      <c r="E47" s="6" t="str">
        <f>"&lt;(" &amp; A50  &amp; ")2 - S"  &amp; "__"</f>
        <v>&lt;(49)2 - S__</v>
      </c>
      <c r="F47" s="6" t="str">
        <f>"&lt;(" &amp; A50  &amp; ")3 - A"  &amp; "__"</f>
        <v>&lt;(49)3 - A__</v>
      </c>
      <c r="G47" s="6" t="str">
        <f>"&lt;(" &amp; A48  &amp; ")4 - L"  &amp; "__"</f>
        <v>&lt;(47)4 - L__</v>
      </c>
      <c r="H47" s="6" t="str">
        <f>"&lt;(" &amp; A50  &amp; ")5 - O"  &amp; "__"</f>
        <v>&lt;(49)5 - O__</v>
      </c>
    </row>
    <row r="48" spans="1:8" ht="168" customHeight="1">
      <c r="A48" s="15">
        <v>47</v>
      </c>
      <c r="C48" s="6" t="s">
        <v>52</v>
      </c>
      <c r="D48" s="6" t="str">
        <f>"&lt;(" &amp; A49  &amp; ")1 - G"  &amp; "__"</f>
        <v>&lt;(48)1 - G__</v>
      </c>
      <c r="E48" s="6" t="str">
        <f>"&lt;(" &amp; A50  &amp; ")2 - L"  &amp; "__"</f>
        <v>&lt;(49)2 - L__</v>
      </c>
      <c r="F48" s="6" t="str">
        <f>"&lt;(" &amp; A50  &amp; ")3 - D"  &amp; "__"</f>
        <v>&lt;(49)3 - D__</v>
      </c>
      <c r="G48" s="6" t="str">
        <f>"&lt;(" &amp; A52  &amp; ")4 - W"  &amp; "__"</f>
        <v>&lt;(51)4 - W__</v>
      </c>
      <c r="H48" s="6" t="str">
        <f>"&lt;(" &amp; A50  &amp; ")5 - Y"  &amp; "__"</f>
        <v>&lt;(49)5 - Y__</v>
      </c>
    </row>
    <row r="49" spans="1:8" ht="168" customHeight="1">
      <c r="A49" s="15">
        <v>48</v>
      </c>
      <c r="C49" s="6" t="s">
        <v>53</v>
      </c>
      <c r="D49" s="6" t="str">
        <f>"&lt;(" &amp; A50  &amp; ")1 - E"  &amp; "__"</f>
        <v>&lt;(49)1 - E__</v>
      </c>
      <c r="E49" s="6" t="str">
        <f>"&lt;(" &amp; A50  &amp; ")2 - S"  &amp; "__"</f>
        <v>&lt;(49)2 - S__</v>
      </c>
      <c r="F49" s="6" t="str">
        <f>"&lt;(" &amp; A50  &amp; ")3 - R"  &amp; "__"</f>
        <v>&lt;(49)3 - R__</v>
      </c>
      <c r="G49" s="6" t="str">
        <f>"&lt;(" &amp; A50  &amp; ")4 - U"  &amp; "__"</f>
        <v>&lt;(49)4 - U__</v>
      </c>
      <c r="H49" s="6" t="str">
        <f>"&lt;(" &amp; A53  &amp; ")5 - C"  &amp; "__"</f>
        <v>&lt;(52)5 - C__</v>
      </c>
    </row>
    <row r="50" spans="1:8" ht="168" customHeight="1">
      <c r="A50" s="15">
        <v>49</v>
      </c>
      <c r="C50" s="6" t="s">
        <v>54</v>
      </c>
      <c r="D50" s="6" t="str">
        <f>"&lt;(" &amp; A51  &amp; ")1 - You have to get out!"  &amp; "__"</f>
        <v>&lt;(50)1 - You have to get out!__</v>
      </c>
    </row>
    <row r="51" spans="1:8" ht="168" customHeight="1">
      <c r="A51" s="8">
        <v>50</v>
      </c>
      <c r="C51" s="6" t="s">
        <v>55</v>
      </c>
      <c r="D51" s="6" t="str">
        <f>"&lt;(" &amp; A52  &amp; ")1 - Are you here?"  &amp; "__"</f>
        <v>&lt;(51)1 - Are you here?__</v>
      </c>
    </row>
    <row r="52" spans="1:8" ht="168" customHeight="1">
      <c r="A52" s="8">
        <v>51</v>
      </c>
      <c r="C52" s="6" t="s">
        <v>56</v>
      </c>
    </row>
    <row r="53" spans="1:8" ht="168" customHeight="1">
      <c r="A53" s="15">
        <v>52</v>
      </c>
      <c r="C53" s="6" t="s">
        <v>57</v>
      </c>
      <c r="D53" s="6" t="str">
        <f>"&lt;(" &amp; A54  &amp; ")1 - What are you expecting to find here?"  &amp; "__"</f>
        <v>&lt;(53)1 - What are you expecting to find here?__</v>
      </c>
    </row>
    <row r="54" spans="1:8" ht="168" customHeight="1">
      <c r="A54" s="15">
        <v>53</v>
      </c>
      <c r="C54" s="6" t="s">
        <v>58</v>
      </c>
      <c r="D54" s="6" t="str">
        <f>"&lt;(" &amp; A55  &amp; ")1 - What if you don't find any fuse?"  &amp; "__"</f>
        <v>&lt;(54)1 - What if you don't find any fuse?__</v>
      </c>
      <c r="E54" s="6" t="str">
        <f>"&lt;(" &amp; A59  &amp; ")2 - What if there was someone down there?"  &amp; "__"</f>
        <v>&lt;(58)2 - What if there was someone down there?__</v>
      </c>
      <c r="F54" s="6" t="str">
        <f>"&lt;(" &amp; A62  &amp; ")3 - What if it's a trap?"  &amp; "__"</f>
        <v>&lt;(61)3 - What if it's a trap?__</v>
      </c>
    </row>
    <row r="55" spans="1:8" ht="168" customHeight="1">
      <c r="A55" s="15">
        <v>54</v>
      </c>
      <c r="C55" s="6" t="s">
        <v>59</v>
      </c>
      <c r="D55" s="6" t="str">
        <f>"&lt;(" &amp; A56  &amp; ")1@ - Of course! I will be with you until the end"  &amp; "__"</f>
        <v>&lt;(55)1@ - Of course! I will be with you until the end__</v>
      </c>
      <c r="E55" s="6" t="str">
        <f>"&lt;(" &amp; A57  &amp; ")2| - Uhm, I have more alluring stuff to do"  &amp; "__"</f>
        <v>&lt;(56)2| - Uhm, I have more alluring stuff to do__</v>
      </c>
      <c r="F55" s="6" t="str">
        <f>"&lt;(" &amp; A58  &amp; ")3@ - Sorry but I don't feel confortable with hearing someone slowly dying on phone..."  &amp; "__"</f>
        <v>&lt;(57)3@ - Sorry but I don't feel confortable with hearing someone slowly dying on phone...__</v>
      </c>
    </row>
    <row r="56" spans="1:8" ht="168" customHeight="1">
      <c r="A56" s="15">
        <v>55</v>
      </c>
      <c r="C56" s="6" t="s">
        <v>60</v>
      </c>
      <c r="D56" s="6" t="str">
        <f>"&lt;(" &amp; A65  &amp; ")1 - I was just being honest! You're down the stairs?"  &amp; "__"</f>
        <v>&lt;(64)1 - I was just being honest! You're down the stairs?__</v>
      </c>
    </row>
    <row r="57" spans="1:8" ht="168" customHeight="1">
      <c r="A57" s="15">
        <v>56</v>
      </c>
      <c r="C57" s="6" t="s">
        <v>61</v>
      </c>
      <c r="D57" s="6" t="str">
        <f>"&lt;(" &amp; A65  &amp; ")1 - It's cool to see that you understand! You're down the stairs?"  &amp; "__"</f>
        <v>&lt;(64)1 - It's cool to see that you understand! You're down the stairs?__</v>
      </c>
    </row>
    <row r="58" spans="1:8" ht="168" customHeight="1">
      <c r="A58" s="15">
        <v>57</v>
      </c>
      <c r="C58" s="6" t="s">
        <v>62</v>
      </c>
      <c r="D58" s="6" t="str">
        <f>"&lt;(" &amp; A65  &amp; ")1 - Funny one. You're down the stairs?"  &amp; "__"</f>
        <v>&lt;(64)1 - Funny one. You're down the stairs?__</v>
      </c>
    </row>
    <row r="59" spans="1:8" ht="168" customHeight="1">
      <c r="A59" s="15">
        <v>58</v>
      </c>
      <c r="C59" s="6" t="s">
        <v>63</v>
      </c>
      <c r="D59" s="6" t="str">
        <f>"&lt;(" &amp; A60  &amp; ")1| - But they'll be hostile!"  &amp; "__"</f>
        <v>&lt;(59)1| - But they'll be hostile!__</v>
      </c>
      <c r="E59" s="6" t="str">
        <f>"&lt;(" &amp; A61  &amp; ")2 - Maybe we can deal so they free you"  &amp; "__"</f>
        <v>&lt;(60)2 - Maybe we can deal so they free you__</v>
      </c>
    </row>
    <row r="60" spans="1:8" ht="168" customHeight="1">
      <c r="A60" s="15">
        <v>59</v>
      </c>
      <c r="C60" s="6" t="s">
        <v>64</v>
      </c>
      <c r="D60" s="6" t="str">
        <f>"&lt;(" &amp; A65  &amp; ")1 - Where ar you now?"  &amp; "__"</f>
        <v>&lt;(64)1 - Where ar you now?__</v>
      </c>
    </row>
    <row r="61" spans="1:8" ht="168" customHeight="1">
      <c r="A61" s="15">
        <v>60</v>
      </c>
      <c r="C61" s="6" t="s">
        <v>65</v>
      </c>
      <c r="D61" s="6" t="str">
        <f>"&lt;(" &amp; A65  &amp; ")1 - Where ar you now?"  &amp; "__"</f>
        <v>&lt;(64)1 - Where ar you now?__</v>
      </c>
    </row>
    <row r="62" spans="1:8" ht="168" customHeight="1">
      <c r="A62" s="15">
        <v>61</v>
      </c>
      <c r="C62" s="6" t="s">
        <v>66</v>
      </c>
      <c r="D62" s="6" t="str">
        <f>"&lt;(" &amp; A63  &amp; ")1| - I would go back and search for another way out if I were you"  &amp; "__"</f>
        <v>&lt;(62)1| - I would go back and search for another way out if I were you__</v>
      </c>
      <c r="E62" s="6" t="str">
        <f>"&lt;(" &amp; A64  &amp; ")2 - Do whatever you want, it's your responsability"  &amp; "__"</f>
        <v>&lt;(63)2 - Do whatever you want, it's your responsability__</v>
      </c>
    </row>
    <row r="63" spans="1:8" ht="168" customHeight="1">
      <c r="A63" s="15">
        <v>62</v>
      </c>
      <c r="C63" s="6" t="s">
        <v>67</v>
      </c>
      <c r="D63" s="6" t="str">
        <f>"&lt;(" &amp; A65  &amp; ")1 - So you're getting down there?"  &amp; "__"</f>
        <v>&lt;(64)1 - So you're getting down there?__</v>
      </c>
    </row>
    <row r="64" spans="1:8" ht="168" customHeight="1">
      <c r="A64" s="15">
        <v>63</v>
      </c>
      <c r="C64" s="6" t="s">
        <v>68</v>
      </c>
      <c r="D64" s="6" t="str">
        <f>"&lt;(" &amp; A65  &amp; ")1 - I'll do my best... Where are you now?"  &amp; "__"</f>
        <v>&lt;(64)1 - I'll do my best... Where are you now?__</v>
      </c>
    </row>
    <row r="65" spans="1:9" ht="168" customHeight="1">
      <c r="A65" s="15">
        <v>64</v>
      </c>
      <c r="C65" s="6" t="s">
        <v>69</v>
      </c>
      <c r="D65" s="6" t="str">
        <f>"&lt;(" &amp; A66  &amp; ")1 - Shit! The signal's getting weaker again!"  &amp; "__"</f>
        <v>&lt;(65)1 - Shit! The signal's getting weaker again!__</v>
      </c>
    </row>
    <row r="66" spans="1:9" ht="168" customHeight="1">
      <c r="A66" s="15">
        <v>65</v>
      </c>
      <c r="C66" s="6" t="s">
        <v>70</v>
      </c>
      <c r="D66" s="6" t="str">
        <f>"&lt;(" &amp; A67  &amp; ")1 - Can you hear me?"  &amp; "__"</f>
        <v>&lt;(66)1 - Can you hear me?__</v>
      </c>
      <c r="E66" s="6" t="str">
        <f>"&lt;(" &amp; A67  &amp; ")2 - I'm still here!"  &amp; "__"</f>
        <v>&lt;(66)2 - I'm still here!__</v>
      </c>
    </row>
    <row r="67" spans="1:9" ht="168" customHeight="1">
      <c r="A67" s="15">
        <v>66</v>
      </c>
      <c r="C67" s="6" t="s">
        <v>71</v>
      </c>
      <c r="D67" s="6" t="str">
        <f>"&lt;(" &amp; A68  &amp; ")1 - Who is this?"  &amp; "__"</f>
        <v>&lt;(67)1 - Who is this?__</v>
      </c>
    </row>
    <row r="68" spans="1:9" ht="168" customHeight="1">
      <c r="A68" s="15">
        <v>67</v>
      </c>
      <c r="C68" s="6" t="s">
        <v>72</v>
      </c>
      <c r="D68" s="6" t="str">
        <f>"&lt;(" &amp; A70  &amp; ")1 - What should I do?"  &amp; "__"</f>
        <v>&lt;(69)1 - What should I do?__</v>
      </c>
      <c r="E68" s="6" t="str">
        <f>"&lt;(" &amp; A69  &amp; ")2 - How do I know I can trust you?"  &amp; "__"</f>
        <v>&lt;(68)2 - How do I know I can trust you?__</v>
      </c>
    </row>
    <row r="69" spans="1:9" ht="168" customHeight="1">
      <c r="A69" s="15">
        <v>68</v>
      </c>
      <c r="C69" s="6" t="s">
        <v>73</v>
      </c>
      <c r="D69" s="6" t="str">
        <f>"&lt;(" &amp; A70  &amp; ")1 - Okay, tell me how I can help"  &amp; "__"</f>
        <v>&lt;(69)1 - Okay, tell me how I can help__</v>
      </c>
      <c r="E69" s="6" t="str">
        <f>"&lt;(" &amp; A71  &amp; ")2 - I won't listen to you!"  &amp; "__"</f>
        <v>&lt;(70)2 - I won't listen to you!__</v>
      </c>
    </row>
    <row r="70" spans="1:9" ht="168" customHeight="1">
      <c r="A70" s="15">
        <v>69</v>
      </c>
      <c r="C70" s="6" t="s">
        <v>74</v>
      </c>
      <c r="D70" s="6" t="str">
        <f>"&lt;(" &amp; A71  &amp; ")1 - Questions? And how is it going to help?..."  &amp; "__"</f>
        <v>&lt;(70)1 - Questions? And how is it going to help?...__</v>
      </c>
      <c r="E70" s="6" t="str">
        <f>"&lt;(" &amp; A71  &amp; ")2 - I'm ready"  &amp; "__"</f>
        <v>&lt;(70)2 - I'm ready__</v>
      </c>
    </row>
    <row r="71" spans="1:9" ht="168" customHeight="1">
      <c r="A71" s="2">
        <v>70</v>
      </c>
      <c r="C71" s="6" t="s">
        <v>75</v>
      </c>
      <c r="D71" s="6" t="str">
        <f>"&lt;(" &amp; A72  &amp; ")1@ - Yes"  &amp; "__"</f>
        <v>&lt;(71)1@ - Yes__</v>
      </c>
      <c r="E71" s="6" t="str">
        <f>"&lt;(" &amp; A72  &amp; ")2| - No"  &amp; "__"</f>
        <v>&lt;(71)2| - No__</v>
      </c>
      <c r="F71" s="6" t="str">
        <f>"&lt;(" &amp; A72  &amp; ")3| - How can I answer that?"  &amp; "__"</f>
        <v>&lt;(71)3| - How can I answer that?__</v>
      </c>
      <c r="I71" t="s">
        <v>76</v>
      </c>
    </row>
    <row r="72" spans="1:9" ht="168" customHeight="1">
      <c r="A72" s="2">
        <v>71</v>
      </c>
      <c r="C72" s="6" t="s">
        <v>77</v>
      </c>
      <c r="D72" s="6" t="str">
        <f>"&lt;(" &amp; A73  &amp; ")1@ - ...Yes?"  &amp; "__"</f>
        <v>&lt;(72)1@ - ...Yes?__</v>
      </c>
      <c r="E72" s="6" t="str">
        <f>"&lt;(" &amp; A73  &amp; ")2@ - ...No?"  &amp; "__"</f>
        <v>&lt;(72)2@ - ...No?__</v>
      </c>
      <c r="F72" s="6" t="str">
        <f>"&lt;(" &amp; A73  &amp; ")3| - But that's impossible?!"  &amp; "__"</f>
        <v>&lt;(72)3| - But that's impossible?!__</v>
      </c>
    </row>
    <row r="73" spans="1:9" ht="168" customHeight="1">
      <c r="A73" s="2">
        <v>72</v>
      </c>
      <c r="C73" s="6" t="s">
        <v>78</v>
      </c>
      <c r="D73" s="6" t="str">
        <f>"&lt;(" &amp; A74  &amp; ")1@ - Yes!"  &amp; "__"</f>
        <v>&lt;(73)1@ - Yes!__</v>
      </c>
      <c r="E73" s="6" t="str">
        <f>"&lt;(" &amp; A74  &amp; ")2| - No!"  &amp; "__"</f>
        <v>&lt;(73)2| - No!__</v>
      </c>
      <c r="F73" s="6" t="str">
        <f>"&lt;(" &amp; A74  &amp; ")3| - I would worry about getting out instead of doing small talk!"  &amp; "__"</f>
        <v>&lt;(73)3| - I would worry about getting out instead of doing small talk!__</v>
      </c>
    </row>
    <row r="74" spans="1:9" ht="168" customHeight="1">
      <c r="A74" s="2">
        <v>73</v>
      </c>
      <c r="C74" s="6" t="s">
        <v>79</v>
      </c>
      <c r="D74" s="6" t="str">
        <f>"&lt;(" &amp; A75  &amp; ")1 - Yes!"  &amp; "__"</f>
        <v>&lt;(74)1 - Yes!__</v>
      </c>
      <c r="E74" s="6" t="str">
        <f>"&lt;(" &amp; A76  &amp; ")2 - Something crazy just happened..."  &amp; "__"</f>
        <v>&lt;(75)2 - Something crazy just happened...__</v>
      </c>
    </row>
    <row r="75" spans="1:9" ht="168" customHeight="1">
      <c r="A75" s="2">
        <v>74</v>
      </c>
      <c r="C75" s="6" t="s">
        <v>80</v>
      </c>
      <c r="D75" s="6" t="str">
        <f>"&lt;(" &amp; A76  &amp; ")1 - I was&gt;77"  &amp; "__"</f>
        <v>&lt;(75)1 - I was&gt;77__</v>
      </c>
      <c r="E75" s="6" t="str">
        <f>"&lt;(" &amp; A77  &amp; ")2| - I was not"  &amp; "__"</f>
        <v>&lt;(76)2| - I was not__</v>
      </c>
    </row>
    <row r="76" spans="1:9" ht="168" customHeight="1">
      <c r="A76" s="2">
        <v>75</v>
      </c>
      <c r="C76" s="6" t="s">
        <v>81</v>
      </c>
      <c r="D76" s="6" t="str">
        <f>"&lt;(" &amp; A79  &amp; ")1 - I have no idea!"  &amp; "__"</f>
        <v>&lt;(78)1 - I have no idea!__</v>
      </c>
    </row>
    <row r="77" spans="1:9" ht="168" customHeight="1">
      <c r="A77" s="2">
        <v>76</v>
      </c>
      <c r="C77" s="6" t="s">
        <v>82</v>
      </c>
      <c r="D77" s="6" t="str">
        <f>"&lt;(" &amp; A79  &amp; ")1 - I have no idea!"  &amp; "__"</f>
        <v>&lt;(78)1 - I have no idea!__</v>
      </c>
    </row>
    <row r="78" spans="1:9" ht="168" customHeight="1">
      <c r="A78" s="2">
        <v>77</v>
      </c>
      <c r="C78" s="6" t="s">
        <v>83</v>
      </c>
      <c r="D78" s="6" t="str">
        <f>"&lt;(" &amp; A79  &amp; ")1 - I have no idea!"  &amp; "__"</f>
        <v>&lt;(78)1 - I have no idea!__</v>
      </c>
    </row>
    <row r="79" spans="1:9" ht="168" customHeight="1">
      <c r="A79" s="2">
        <v>78</v>
      </c>
      <c r="C79" s="6" t="s">
        <v>84</v>
      </c>
      <c r="D79" s="6" t="str">
        <f>"&lt;(" &amp; A80  &amp; ")1 - HIDE!"  &amp; "__"</f>
        <v>&lt;(79)1 - HIDE!__</v>
      </c>
      <c r="I79" t="s">
        <v>85</v>
      </c>
    </row>
    <row r="80" spans="1:9" ht="168" customHeight="1">
      <c r="A80" s="2">
        <v>79</v>
      </c>
      <c r="C80" s="6" t="s">
        <v>86</v>
      </c>
      <c r="D80" s="6" t="str">
        <f>"&lt;(" &amp; A81  &amp; ")1 - Who is this?"  &amp; "__"</f>
        <v>&lt;(80)1 - Who is this?__</v>
      </c>
      <c r="E80" s="6" t="str">
        <f>"&lt;(" &amp; A81  &amp; ")2 - Don't say a word!"  &amp; "__"</f>
        <v>&lt;(80)2 - Don't say a word!__</v>
      </c>
    </row>
    <row r="81" spans="1:5" ht="168" customHeight="1">
      <c r="A81" s="2">
        <v>80</v>
      </c>
      <c r="C81" s="6" t="s">
        <v>87</v>
      </c>
      <c r="D81" s="6" t="str">
        <f>"&lt;(" &amp; A82  &amp; ")1 - DON'T TALK TO HIM!"  &amp; "__"</f>
        <v>&lt;(81)1 - DON'T TALK TO HIM!__</v>
      </c>
      <c r="E81" s="6" t="str">
        <f>"&lt;(" &amp; A81  &amp; ")2 - Is this the one who put you on this island?"  &amp; "__"</f>
        <v>&lt;(80)2 - Is this the one who put you on this island?__</v>
      </c>
    </row>
    <row r="82" spans="1:5" ht="168" customHeight="1">
      <c r="A82" s="2">
        <v>81</v>
      </c>
      <c r="C82" s="6" t="s">
        <v>88</v>
      </c>
      <c r="D82" s="6" t="str">
        <f>"&lt;(" &amp; A83  &amp; ")1 - Y-You're a clone of me?"  &amp; "__"</f>
        <v>&lt;(82)1 - Y-You're a clone of me?__</v>
      </c>
    </row>
    <row r="83" spans="1:5" ht="168" customHeight="1">
      <c r="A83" s="2">
        <v>82</v>
      </c>
      <c r="C83" s="6" t="s">
        <v>89</v>
      </c>
      <c r="D83" s="6" t="str">
        <f>"&lt;(" &amp; A84  &amp; ")1 - He's lying!"  &amp; "__"</f>
        <v>&lt;(83)1 - He's lying!__</v>
      </c>
    </row>
    <row r="84" spans="1:5" ht="168" customHeight="1">
      <c r="A84" s="2">
        <v>83</v>
      </c>
      <c r="C84" s="6" t="s">
        <v>90</v>
      </c>
      <c r="D84" s="6" t="str">
        <f>"&lt;(" &amp; A85  &amp; ")1 - That's a good question!"  &amp; "__"</f>
        <v>&lt;(84)1 - That's a good question!__</v>
      </c>
    </row>
    <row r="85" spans="1:5" ht="168" customHeight="1">
      <c r="A85" s="2">
        <v>84</v>
      </c>
      <c r="C85" s="6" t="s">
        <v>91</v>
      </c>
      <c r="D85" s="6" t="str">
        <f>"&lt;(" &amp; A86  &amp; ")1 - All the clones before died?..."  &amp; "__"</f>
        <v>&lt;(85)1 - All the clones before died?...__</v>
      </c>
      <c r="E85" s="6" t="str">
        <f>"&lt;(" &amp; A87  &amp; ")2 - Why then!"  &amp; "__"</f>
        <v>&lt;(86)2 - Why then!__</v>
      </c>
    </row>
    <row r="86" spans="1:5" ht="168" customHeight="1">
      <c r="A86" s="2">
        <v>85</v>
      </c>
      <c r="C86" s="6" t="s">
        <v>92</v>
      </c>
      <c r="D86" s="6" t="str">
        <f>"&lt;(" &amp; A88  &amp; ")1 - Virus? Immune?"  &amp; "__"</f>
        <v>&lt;(87)1 - Virus? Immune?__</v>
      </c>
      <c r="E86" s="6" t="str">
        <f>"&lt;(" &amp; A88  &amp; ")2 - Is that the one who contacted me earlier? Or was it you?"  &amp; "__"</f>
        <v>&lt;(87)2 - Is that the one who contacted me earlier? Or was it you?__</v>
      </c>
    </row>
    <row r="87" spans="1:5" ht="168" customHeight="1">
      <c r="A87" s="2">
        <v>86</v>
      </c>
      <c r="C87" s="6" t="s">
        <v>93</v>
      </c>
      <c r="D87" s="6" t="str">
        <f>"&lt;(" &amp; A88  &amp; ")1 - Calm down!"  &amp; "__"</f>
        <v>&lt;(87)1 - Calm down!__</v>
      </c>
      <c r="E87" s="6" t="str">
        <f>"&lt;(" &amp; A88  &amp; ")2 - That's it! Why did you clone me?!"  &amp; "__"</f>
        <v>&lt;(87)2 - That's it! Why did you clone me?!__</v>
      </c>
    </row>
    <row r="88" spans="1:5" ht="168" customHeight="1">
      <c r="A88" s="2">
        <v>87</v>
      </c>
      <c r="C88" s="6" t="s">
        <v>94</v>
      </c>
      <c r="D88" s="6" t="str">
        <f>"&lt;(" &amp; A89  &amp; ")1 - Yes! Why should we trust you?"  &amp; "__"</f>
        <v>&lt;(88)1 - Yes! Why should we trust you?__</v>
      </c>
    </row>
    <row r="89" spans="1:5" ht="168" customHeight="1">
      <c r="A89" s="2">
        <v>88</v>
      </c>
      <c r="C89" s="6" t="s">
        <v>95</v>
      </c>
      <c r="D89" s="6" t="str">
        <f>"&lt;(" &amp; A90  &amp; ")1 - AND WHY WOULD YOU CHOOSE ME?!"  &amp; "__"</f>
        <v>&lt;(89)1 - AND WHY WOULD YOU CHOOSE ME?!__</v>
      </c>
    </row>
    <row r="90" spans="1:5" ht="168" customHeight="1">
      <c r="A90" s="2">
        <v>89</v>
      </c>
      <c r="C90" s="6" t="s">
        <v>96</v>
      </c>
      <c r="D90" s="6" t="str">
        <f>"&lt;(" &amp; A91  &amp; ")1 - IT'S ALL A LIE! STAY INSIDE!"  &amp; "__"</f>
        <v>&lt;(90)1 - IT'S ALL A LIE! STAY INSIDE!__</v>
      </c>
      <c r="E90" s="6" t="str">
        <f>"&lt;(" &amp; A101  &amp; ")2 - Follow him...&gt;93"&amp; "__"</f>
        <v>&lt;(100)2 - Follow him...&gt;93__</v>
      </c>
    </row>
    <row r="91" spans="1:5" ht="168" customHeight="1">
      <c r="A91" s="2">
        <v>90</v>
      </c>
      <c r="C91" s="6" t="s">
        <v>97</v>
      </c>
      <c r="D91" s="6" t="str">
        <f>"&lt;(" &amp; A92  &amp; ")1 - What is this noise?"  &amp; "__"</f>
        <v>&lt;(91)1 - What is this noise?__</v>
      </c>
    </row>
    <row r="92" spans="1:5" ht="168" customHeight="1">
      <c r="A92" s="2">
        <v>91</v>
      </c>
      <c r="C92" s="6" t="s">
        <v>98</v>
      </c>
      <c r="D92" s="6" t="str">
        <f>"&lt;(" &amp; A93  &amp; ")1 - DONT GIVE UP!"  &amp; "__"</f>
        <v>&lt;(92)1 - DONT GIVE UP!__</v>
      </c>
    </row>
    <row r="93" spans="1:5" ht="168" customHeight="1">
      <c r="A93" s="8">
        <v>92</v>
      </c>
      <c r="C93" s="6" t="s">
        <v>99</v>
      </c>
    </row>
    <row r="94" spans="1:5" ht="168" customHeight="1">
      <c r="A94" s="2">
        <v>93</v>
      </c>
      <c r="C94" s="6" t="s">
        <v>100</v>
      </c>
      <c r="D94" s="6" t="str">
        <f>"&lt;(" &amp; A95  &amp; ")1 - You're getting everything wrong!"  &amp; "__"</f>
        <v>&lt;(94)1 - You're getting everything wrong!__</v>
      </c>
      <c r="E94" s="6" t="str">
        <f>"&lt;(" &amp; A96  &amp; ")2 - Why are you acting like this?!"  &amp; "__"</f>
        <v>&lt;(95)2 - Why are you acting like this?!__</v>
      </c>
    </row>
    <row r="95" spans="1:5" ht="168" customHeight="1">
      <c r="A95" s="2">
        <v>94</v>
      </c>
      <c r="C95" s="6" t="s">
        <v>101</v>
      </c>
      <c r="D95" s="6" t="str">
        <f>"&lt;(" &amp; A96  &amp; ")1 - I'm not!"  &amp; "__"</f>
        <v>&lt;(95)1 - I'm not!__</v>
      </c>
    </row>
    <row r="96" spans="1:5" ht="168" customHeight="1">
      <c r="A96" s="2">
        <v>95</v>
      </c>
      <c r="C96" s="6" t="s">
        <v>102</v>
      </c>
      <c r="D96" s="6" t="str">
        <f>"&lt;(" &amp; A97  &amp; ")1 - You're losing your mind."  &amp; "__"</f>
        <v>&lt;(96)1 - You're losing your mind.__</v>
      </c>
      <c r="E96" s="6" t="str">
        <f>"&lt;(" &amp; A97  &amp; ")2 - Come back to your senses!"  &amp; "__"</f>
        <v>&lt;(96)2 - Come back to your senses!__</v>
      </c>
    </row>
    <row r="97" spans="1:6" ht="168" customHeight="1">
      <c r="A97" s="2">
        <v>96</v>
      </c>
      <c r="C97" s="6" t="s">
        <v>103</v>
      </c>
      <c r="D97" s="6" t="str">
        <f>"&lt;(" &amp; A98  &amp; ")1 - DON'T DO THAT! You'll get killed!"  &amp; "__"</f>
        <v>&lt;(97)1 - DON'T DO THAT! You'll get killed!__</v>
      </c>
    </row>
    <row r="98" spans="1:6" ht="168" customHeight="1">
      <c r="A98" s="2">
        <v>97</v>
      </c>
      <c r="C98" s="6" t="s">
        <v>104</v>
      </c>
      <c r="D98" s="6" t="str">
        <f>"&lt;(" &amp; A99  &amp; ")1 - You're really dumb"  &amp; "__"</f>
        <v>&lt;(98)1 - You're really dumb__</v>
      </c>
      <c r="E98" s="6" t="str">
        <f>"&lt;(" &amp; A99  &amp; ")2 - STOP THAT!"  &amp; "__"</f>
        <v>&lt;(98)2 - STOP THAT!__</v>
      </c>
      <c r="F98" s="6" t="str">
        <f>"&lt;(" &amp; A101  &amp; ")3 - I'VE GOT NOTHING TO DO WITH THIS!"  &amp; "__"</f>
        <v>&lt;(100)3 - I'VE GOT NOTHING TO DO WITH THIS!__</v>
      </c>
    </row>
    <row r="99" spans="1:6" ht="168" customHeight="1">
      <c r="A99" s="2">
        <v>98</v>
      </c>
      <c r="C99" s="6" t="s">
        <v>105</v>
      </c>
      <c r="D99" s="6" t="str">
        <f>"&lt;(" &amp; A100  &amp; ")1 - You're getting everything wrong!"  &amp; "__"</f>
        <v>&lt;(99)1 - You're getting everything wrong!__</v>
      </c>
    </row>
    <row r="100" spans="1:6" ht="168" customHeight="1">
      <c r="A100" s="8">
        <v>99</v>
      </c>
      <c r="C100" s="6" t="s">
        <v>106</v>
      </c>
    </row>
    <row r="101" spans="1:6" ht="168" customHeight="1">
      <c r="A101" s="2">
        <v>100</v>
      </c>
      <c r="C101" s="6" t="s">
        <v>107</v>
      </c>
      <c r="D101" s="6" t="str">
        <f>"&lt;(" &amp; A102  &amp; ")1 - That's reassuring!"  &amp; "__"</f>
        <v>&lt;(101)1 - That's reassuring!__</v>
      </c>
      <c r="E101" s="6" t="str">
        <f>"&lt;(" &amp; A103  &amp; ")2 - That might be the worst thing to say to put someone at ease"  &amp; "__"</f>
        <v>&lt;(102)2 - That might be the worst thing to say to put someone at ease__</v>
      </c>
    </row>
    <row r="102" spans="1:6" ht="168" customHeight="1">
      <c r="A102" s="2">
        <v>101</v>
      </c>
      <c r="C102" s="6" t="s">
        <v>108</v>
      </c>
      <c r="D102" s="6" t="str">
        <f>"&lt;(" &amp; A104  &amp; ")1 - That's..."  &amp; "__"</f>
        <v>&lt;(103)1 - That's...__</v>
      </c>
      <c r="E102" s="6" t="str">
        <f>"&lt;(" &amp; A104  &amp; ")2 - It is..."  &amp; "__"</f>
        <v>&lt;(103)2 - It is...__</v>
      </c>
    </row>
    <row r="103" spans="1:6" ht="168" customHeight="1">
      <c r="A103" s="2">
        <v>102</v>
      </c>
      <c r="C103" s="6" t="s">
        <v>109</v>
      </c>
      <c r="D103" s="6" t="str">
        <f>"&lt;(" &amp; A104  &amp; ")1 - That's..."  &amp; "__"</f>
        <v>&lt;(103)1 - That's...__</v>
      </c>
      <c r="E103" s="6" t="str">
        <f>"&lt;(" &amp; A104  &amp; ")2 - It is..."  &amp; "__"</f>
        <v>&lt;(103)2 - It is...__</v>
      </c>
    </row>
    <row r="104" spans="1:6" ht="168" customHeight="1">
      <c r="A104" s="2">
        <v>103</v>
      </c>
      <c r="C104" s="6" t="s">
        <v>110</v>
      </c>
      <c r="D104" s="6" t="str">
        <f>"&lt;(" &amp; A105  &amp; ")1 - That was quite an adventure!"  &amp; "__"</f>
        <v>&lt;(104)1 - That was quite an adventure!__</v>
      </c>
    </row>
    <row r="105" spans="1:6" ht="168" customHeight="1">
      <c r="A105" s="2">
        <v>104</v>
      </c>
      <c r="C105" s="6" t="s">
        <v>111</v>
      </c>
      <c r="D105" s="6" t="str">
        <f>"&lt;(" &amp; A106  &amp; ")1 - You are more than just an alternate version of me!"  &amp; "__"</f>
        <v>&lt;(105)1 - You are more than just an alternate version of me!__</v>
      </c>
      <c r="E105" s="6" t="str">
        <f>"&lt;(" &amp; A106  &amp; ")2 - It's you that will save the world in the end, not me."  &amp; "__"</f>
        <v>&lt;(105)2 - It's you that will save the world in the end, not me.__</v>
      </c>
    </row>
    <row r="106" spans="1:6" ht="168" customHeight="1">
      <c r="A106" s="2">
        <v>105</v>
      </c>
      <c r="C106" s="6" t="s">
        <v>112</v>
      </c>
      <c r="D106" s="6" t="str">
        <f>"&lt;(" &amp; A107  &amp; ")1 - We'll go and see a movie too! Since your favorites one are also mine"  &amp; "__"</f>
        <v>&lt;(106)1 - We'll go and see a movie too! Since your favorites one are also mine__</v>
      </c>
      <c r="E106" s="6" t="str">
        <f>"&lt;(" &amp; A107  &amp; ")2 - I hope you don't remember the awkward ones..."  &amp; "__"</f>
        <v>&lt;(106)2 - I hope you don't remember the awkward ones...__</v>
      </c>
    </row>
    <row r="107" spans="1:6" ht="168" customHeight="1">
      <c r="A107" s="2">
        <v>106</v>
      </c>
      <c r="C107" s="6" t="s">
        <v>113</v>
      </c>
      <c r="D107" s="6" t="str">
        <f>"&lt;(" &amp; A108  &amp; ")1 - See you later."  &amp; "__"</f>
        <v>&lt;(107)1 - See you later.__</v>
      </c>
    </row>
    <row r="108" spans="1:6" ht="168" customHeight="1">
      <c r="A108" s="2">
        <v>107</v>
      </c>
      <c r="C108" s="6" t="s">
        <v>114</v>
      </c>
    </row>
    <row r="112" spans="1:6" ht="168" customHeight="1">
      <c r="D112" s="7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Killian FURNO</cp:lastModifiedBy>
  <cp:revision/>
  <dcterms:created xsi:type="dcterms:W3CDTF">2023-11-08T13:15:22Z</dcterms:created>
  <dcterms:modified xsi:type="dcterms:W3CDTF">2023-12-22T16:33:41Z</dcterms:modified>
  <cp:category/>
  <cp:contentStatus/>
</cp:coreProperties>
</file>