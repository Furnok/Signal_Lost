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pement\Games\Visual Studio 2022\C++\Signal-Lost\Game-Book Old\Project Documentation\"/>
    </mc:Choice>
  </mc:AlternateContent>
  <xr:revisionPtr revIDLastSave="0" documentId="13_ncr:1_{3D2DE4F8-928D-4E8D-AD7A-5119CB975C62}" xr6:coauthVersionLast="47" xr6:coauthVersionMax="47" xr10:uidLastSave="{00000000-0000-0000-0000-000000000000}"/>
  <bookViews>
    <workbookView xWindow="390" yWindow="390" windowWidth="29055" windowHeight="20445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74" i="1"/>
  <c r="F72" i="1"/>
  <c r="F22" i="1"/>
  <c r="F21" i="1"/>
  <c r="D69" i="1"/>
  <c r="D73" i="1"/>
  <c r="E73" i="1"/>
  <c r="D71" i="1"/>
  <c r="D70" i="1"/>
  <c r="E69" i="1"/>
  <c r="D68" i="1"/>
  <c r="D67" i="1"/>
  <c r="E67" i="1"/>
  <c r="D66" i="1"/>
  <c r="D64" i="1"/>
  <c r="D65" i="1"/>
  <c r="E63" i="1"/>
  <c r="D63" i="1"/>
  <c r="D62" i="1"/>
  <c r="D61" i="1"/>
  <c r="E60" i="1"/>
  <c r="D60" i="1"/>
  <c r="D59" i="1"/>
  <c r="E59" i="1"/>
  <c r="D58" i="1"/>
  <c r="D57" i="1"/>
  <c r="D56" i="1"/>
  <c r="D54" i="1"/>
  <c r="E53" i="1"/>
  <c r="H53" i="1"/>
  <c r="G53" i="1"/>
  <c r="F53" i="1"/>
  <c r="D53" i="1"/>
  <c r="D51" i="1"/>
  <c r="D50" i="1"/>
  <c r="D49" i="1"/>
  <c r="D45" i="1"/>
  <c r="E42" i="1"/>
  <c r="D42" i="1"/>
  <c r="D37" i="1"/>
  <c r="F35" i="1"/>
  <c r="E35" i="1"/>
  <c r="G34" i="1"/>
  <c r="G36" i="1"/>
  <c r="G35" i="1"/>
  <c r="D34" i="1"/>
  <c r="F33" i="1"/>
  <c r="E33" i="1"/>
  <c r="D33" i="1"/>
  <c r="E30" i="1"/>
  <c r="D30" i="1"/>
  <c r="E29" i="1"/>
  <c r="F34" i="1"/>
  <c r="E34" i="1"/>
  <c r="D35" i="1"/>
  <c r="F36" i="1"/>
  <c r="E36" i="1"/>
  <c r="D36" i="1"/>
  <c r="E38" i="1"/>
  <c r="D38" i="1"/>
  <c r="E41" i="1"/>
  <c r="D41" i="1"/>
  <c r="D40" i="1"/>
  <c r="E68" i="1"/>
  <c r="D72" i="1"/>
  <c r="D47" i="1"/>
  <c r="E48" i="1"/>
  <c r="E72" i="1"/>
  <c r="E70" i="1"/>
  <c r="D44" i="1"/>
  <c r="D43" i="1"/>
  <c r="D32" i="1"/>
  <c r="D31" i="1"/>
  <c r="D17" i="1"/>
  <c r="D15" i="1"/>
  <c r="D16" i="1"/>
  <c r="D14" i="1"/>
  <c r="D13" i="1"/>
  <c r="E11" i="1"/>
  <c r="E10" i="1"/>
  <c r="D29" i="1"/>
  <c r="D28" i="1"/>
  <c r="D27" i="1"/>
  <c r="E23" i="1"/>
  <c r="E25" i="1"/>
  <c r="D25" i="1"/>
  <c r="D23" i="1"/>
  <c r="D22" i="1"/>
  <c r="E22" i="1"/>
  <c r="E21" i="1"/>
  <c r="D21" i="1"/>
  <c r="D19" i="1"/>
  <c r="D20" i="1"/>
  <c r="D18" i="1"/>
  <c r="E18" i="1"/>
  <c r="E19" i="1"/>
  <c r="E20" i="1"/>
  <c r="E17" i="1"/>
  <c r="E16" i="1"/>
  <c r="E15" i="1"/>
  <c r="E14" i="1"/>
  <c r="E13" i="1"/>
  <c r="D11" i="1"/>
  <c r="F9" i="1"/>
  <c r="E9" i="1"/>
  <c r="D9" i="1"/>
  <c r="D12" i="1"/>
  <c r="E12" i="1"/>
  <c r="F11" i="1"/>
  <c r="F10" i="1"/>
  <c r="D10" i="1"/>
  <c r="F8" i="1"/>
  <c r="E8" i="1"/>
  <c r="D26" i="1"/>
  <c r="D24" i="1"/>
  <c r="D39" i="1"/>
  <c r="D55" i="1"/>
  <c r="D52" i="1"/>
  <c r="D8" i="1"/>
  <c r="D4" i="1"/>
  <c r="D46" i="1"/>
  <c r="E2" i="1"/>
  <c r="D3" i="1"/>
  <c r="E5" i="1"/>
  <c r="D5" i="1"/>
  <c r="D7" i="1"/>
  <c r="D6" i="1"/>
  <c r="D2" i="1"/>
</calcChain>
</file>

<file path=xl/sharedStrings.xml><?xml version="1.0" encoding="utf-8"?>
<sst xmlns="http://schemas.openxmlformats.org/spreadsheetml/2006/main" count="135" uniqueCount="134">
  <si>
    <t>SCENE NUMBER</t>
  </si>
  <si>
    <t>SCENE NAME</t>
  </si>
  <si>
    <t>TEXT SCENE</t>
  </si>
  <si>
    <t>TEXT CHOICE 1</t>
  </si>
  <si>
    <t>TEXT CHOICE 2</t>
  </si>
  <si>
    <t>TEXT CHOICE 3</t>
  </si>
  <si>
    <t>TEXT CHOICE 4</t>
  </si>
  <si>
    <t>TEXT CHOICE 5</t>
  </si>
  <si>
    <t>HAS TIMER ?</t>
  </si>
  <si>
    <t>IS INFLUENCED BY TRUST ?</t>
  </si>
  <si>
    <t>Phone ringing</t>
  </si>
  <si>
    <t>*bip* *bip* *bip*+__
[INCOMING CALL]+__</t>
  </si>
  <si>
    <t>Yes</t>
  </si>
  <si>
    <t>Player
pickups</t>
  </si>
  <si>
    <t>*click*+__
SHKRRRRRRRRR... H-hello? Is someone the-SHKRRRRRRRRRRRRRRR...+__
How does this thing wor-SHKRRRRRRRRRR... +You hear m-SHKRRRRRRRRRRR...+__
Hello?+__</t>
  </si>
  <si>
    <t>SIGNAL
LOST
(hanged up)</t>
  </si>
  <si>
    <t xml:space="preserve">*Static*+__
.+.+.+__
--SIGNAL LOST--+__
</t>
  </si>
  <si>
    <t>First
dialogue1</t>
  </si>
  <si>
    <t>*SHKRRRRRR*-MY GOD! I’ve been stuck here-*SHKRRRRRRRRRRRR*-days, it feels so good to hear someone else's voice... *SHKRRRRRRRRRRRRRRRR*-any idea what’s going on ? Who are y-*SHKRRRRRRRRRRRRRRRR*-am I here?+__</t>
  </si>
  <si>
    <t>First
dialogue2</t>
  </si>
  <si>
    <t>I’m-*SHKRRRRRRRRR*.+ I don’t know how-*SHKRRRRRRRRR*-can't get out...+__
and you-*SHKRRRRRRRRRRRR*...+__
Are-*SHKRRRRRRRR*-Still here?+__</t>
  </si>
  <si>
    <t>First
dialogue3</t>
  </si>
  <si>
    <t>Fuck! The signal’s scram-*SHKRRRRRRRRR*...+ There must be a way to-*SHKRRRRRRRRRRR*... + *snap*+__
…+__
…+__
…+ A-are you there? Can you hear me better?+__</t>
  </si>
  <si>
    <t>Second
dialogue1</t>
  </si>
  <si>
    <t>Oh thank god... It’s so nice to hear someone else’s voice.+__
It’s been an eternity since I’ve talked to anyone. Any longer and It would have driven me nuts.+__</t>
  </si>
  <si>
    <t>Second
dialogue2
(danger1)</t>
  </si>
  <si>
    <t>I-I don’t know.... I’ve been stuck on this island for two days... or three... Can't even tell anymore...+__
It really looks like I'm the only one, there’s not a living soul here...+__</t>
  </si>
  <si>
    <t>Second
dialogue2
(where1)</t>
  </si>
  <si>
    <t xml:space="preserve">The last few days of my life have been blurry as hell, can’t even remember what day it is!+__
I- I’m all alone on this weird island, I’ve been looking for someone for hours now, and all I was able to find is more ruins+__
It- It's like an abandoned city. +__
</t>
  </si>
  <si>
    <t>Second
dialogue2
(whycall1)</t>
  </si>
  <si>
    <t>Can’t even tell! I just found this old ass ... flip phone on a shelve, just picked it up and it- it started a call as soon as I opened it!+__
There isn't anything else on that piece of trash, no contacts or any internet access, only this call.+__</t>
  </si>
  <si>
    <t>Second
dialogue3
(where1,
(danger2)</t>
  </si>
  <si>
    <t>The-+ the place feels empty as I've said,+ but you don't wake up in a ghost town-looking place and ever feel safe.+__
...+__
Like,+ how does this happen?+__
It's all just like a bad hangover!+__</t>
  </si>
  <si>
    <t>Second
dialogue3
(whycall1,
(danger2)</t>
  </si>
  <si>
    <t>Hard to tell, +...+ but I'm not going to lie, it's hard to not freak out about waking up on a random island...+__
...+__
I-+ Who knows what could be hiding in those buildings? Ha-+ Hard to keep it rational after what happened to me!+__</t>
  </si>
  <si>
    <t>Second
dialogue3
(danger1,
(where2)</t>
  </si>
  <si>
    <t>In a mall.+ I figured that if I were to find anything to help me it'd be there...+ Now I'm going to cross to the other side to see if there's anything in that part of town.+__</t>
  </si>
  <si>
    <t>Second dialogue3
(whycall1,
where2)</t>
  </si>
  <si>
    <t>Oh- Oh yeah, forgot about that...+ I'm in what appears to be the city's supermarket.+ Went there to find equipment to survive in the first place.+__
And...+ It's almost empty now, and most of the stuff left is either completely busted or covered in trash.+__
...+__
Also the food is molded to the point it makes me sick to my stomach just looking at it.+__</t>
  </si>
  <si>
    <t>Second dialogue3
(danger1,
whycall2)</t>
  </si>
  <si>
    <t>Can't even tell myself.+ ...+ I-+ I picked up a random phone I found on a shelf and it called you,__
haven't even dialed your number.+__
...+__
I'm as clueless as you are.+__</t>
  </si>
  <si>
    <t>Second dialogue3
(where1,
whycall2)</t>
  </si>
  <si>
    <t xml:space="preserve">I found this phone in this supermarket, and simply opening it started the call+__
*Button presses*+__
It doesn't seem to have any app installed, I can't even access the contacts. Calling you was the only thing I could do with this dusty relic of a device.+__ </t>
  </si>
  <si>
    <t>Second dialogue4
(danger3)</t>
  </si>
  <si>
    <t>There's no certainty... This place feels so empty. Hauntingly empty, the unnatural kind of loneliness...+__
...+__
I'm being dramatic for a reason.+ It's chilling.+ Something's up with this place.+__</t>
  </si>
  <si>
    <t>Second
dialogue4
(where3)</t>
  </si>
  <si>
    <t>I'm still in the supermarket where I found the phone. M-+ Most of the shelves have collapsed, all the stuff is ruined.+__
Apart from the phone, I wasn't able to find anything useful, and the food is probably all passed by months or even years from the looks of it.+__</t>
  </si>
  <si>
    <t>Second
dialogue4
(whycall3)</t>
  </si>
  <si>
    <t xml:space="preserve">You?+ I don't have any idea. I just found a phone on one of the shelves of this mall.+__
I didn't even call you myself, the call started upon picking it up.+__
...+__
The oddest thing is that the phone was the only piece of tech working, that and the way it worked makes me think all of this is orchestrated...+__
</t>
  </si>
  <si>
    <t>Second
dialogue
end
(skipped)</t>
  </si>
  <si>
    <t>I-+ I just need you to stay in call with me.+ For now, you seem to be my only link to the outside world.+__
...+__
And a bit of guidance wouldn't hurt as well, I'm still feeling dizzy from all that mess+--</t>
  </si>
  <si>
    <t>Second
dialogue
end
(doubt)</t>
  </si>
  <si>
    <t>I swear to god it’s not!!! +__
Listen, seems like you’re the only one I can rely on right now. You’re literally the first person I’ve talked to in the past few hours, or even days!+__  
You’re my only way to communicate with the outside world, it’s just a question of my own sanity at this point.!+__</t>
  </si>
  <si>
    <t>Second
dialogue
end
(police)</t>
  </si>
  <si>
    <r>
      <rPr>
        <sz val="10"/>
        <color rgb="FF000000"/>
        <rFont val="Calibri"/>
        <scheme val="minor"/>
      </rPr>
      <t xml:space="preserve">PLEASE DON’T HANG UP! I just need someone to talk to! I have no idea if either of us will even be able to call again if you hang up! Wh-+ whatever is happening to me is beyond anything they could believe anyways!+__
...+__
</t>
    </r>
    <r>
      <rPr>
        <sz val="10"/>
        <color rgb="FF00B050"/>
        <rFont val="Calibri"/>
        <scheme val="minor"/>
      </rPr>
      <t>#%IT+ wO+  d bE uS+  LesS. Ke+  p tHe CaLL gO+gOiNg. =#+__</t>
    </r>
  </si>
  <si>
    <t>SIGNAL
LOST
(called the policeman)</t>
  </si>
  <si>
    <t>PLEA- *biiiip*
.+.+.+__
--SIGNAL LOST--+__</t>
  </si>
  <si>
    <t>Second
dialogue
end
(meanie)</t>
  </si>
  <si>
    <t xml:space="preserve">I have no idea! Your number was on that phone, that’s the only thing I know! You can’t just ignore the fact that you’ve got something to do with this bullshit! You can’t just leave me like that! </t>
  </si>
  <si>
    <t>SIGNAL
LOST
(hanged up like a meanie)</t>
  </si>
  <si>
    <t>NO- *biiiip*+__
.+.+.+__
--SIGNAL LOST--+__</t>
  </si>
  <si>
    <t>Second
dialogue
end
(thankful)</t>
  </si>
  <si>
    <t xml:space="preserve">Oh- Thanks for your understanding, I really appreciate that+__
</t>
  </si>
  <si>
    <t>Second dialogue
end
(relieved)</t>
  </si>
  <si>
    <t>Thank god!+ I just...+ Really depend on you right now.+__
I'm sorry to take your time like that but I haven't really got a choice+__.</t>
  </si>
  <si>
    <t>Second
dialogue end
(continue)</t>
  </si>
  <si>
    <t>O- Okay! … I gotta get out of the building first, just stay with me.+__
*You hear the person’s footsteps echoing through the supermarket*+__
This place is huge, you don’t realize that until the mall’s empty.+ Just, what happened he- +__
… +_
I hear something.+ Mechanical screeching kind of noise.+__</t>
  </si>
  <si>
    <t>Hesitates to go to the noise</t>
  </si>
  <si>
    <t xml:space="preserve">I've been exploring this island for hours now and I've find nothing back where I was.+__
It's the first time I hear anything other than the wind or the waves hitting the shore, so I'm not turning my back now.+__
If there's any living soul in here that knows what the fuck is going on, I'll just go and talk to them.+__
</t>
  </si>
  <si>
    <t>Go to the noise</t>
  </si>
  <si>
    <t>I hope whatever this is won't be hostile.+__
...+__
... Not gonna lie, I'm kind of shitting my pants right now. I'll try to be stealthy, never too sure...+__
*You hear a quiet breath and the mechanical noise slowly becoming louder*+__</t>
  </si>
  <si>
    <t>Offended and go to noise</t>
  </si>
  <si>
    <t>Okay, rude?+__
... If you keep talking to me in this tone...+__
You know what, fuck it.+__
I'm going to see where that noise comes from.+__
*footsteps*+__</t>
  </si>
  <si>
    <t>find the escalator</t>
  </si>
  <si>
    <t>Shhhh...+__
Wait...+ I-It's an...+__
... It's just a freaking escalator...+__
... It's going weirdly fast, I've never seen an escalator this...+ demented before.+__</t>
  </si>
  <si>
    <t>why noise</t>
  </si>
  <si>
    <t>It seems that the engine is overpowered. The escalator goes at a godly speed!+__
It rattles like a goddamn lawnmower.+__
What the-+ I can't even make up where are the steps, it's just so fast it's blurry!+__</t>
  </si>
  <si>
    <t>why working</t>
  </si>
  <si>
    <t>I've got no idea!+__
All that remains here are ruins.+__
Seems weird that the only working thing in this supermarket is a dysfunctionning escalator.+__
Even worse, it's preventing me from getting to the second floor!+__
It almost feels like this was made on purpose...+__
Damn me, I'm making up the worst scenarios in my head now.+__</t>
  </si>
  <si>
    <t>where lead</t>
  </si>
  <si>
    <t>I... Can't tell.+__
Oh wait! There is sunlight up here! I think I can access a new part of the island if I go up here.__
Even if I don't think I can go fast enough to compete against this escalator eh!+__</t>
  </si>
  <si>
    <t>try to step on it</t>
  </si>
  <si>
    <t>Hum...+__
Okay? It might lead somewhere interesting.+__
I just have to...+ Take a step at the right...+ Time...+__
WOOAAH SHI- *THUMP*+__
...+__
...+__</t>
  </si>
  <si>
    <t>fell in the escalator</t>
  </si>
  <si>
    <t>...+__
Ouch...+__
That hurt as hell...+__
What a brillant idea you had ! Stepping on an out of control esc-OUCH!...+__
Would be nice if you don't advice me to be this idiotic next time... Okay?+__</t>
  </si>
  <si>
    <t>kind</t>
  </si>
  <si>
    <t>Yes, yes...+ No worries.+__
It's just a little scratch, I can handle that.+__
Anyway, there might be a way to stop that thing to go so fast.+__
This escalator seems to be the only way to move forward, so let's search for a solution.+__</t>
  </si>
  <si>
    <t>rude</t>
  </si>
  <si>
    <t>Fuck off!__
What tells me you didn't ask me to do that in purpose huh?+__
...+__
I'm overreacting, I just want to get out of here quickly.+__
Let's not be stupid and find a way up here without getting hurt.+__</t>
  </si>
  <si>
    <t>what do you see around you</t>
  </si>
  <si>
    <t>Right, uhmmm...+__
There seems to be 2 shelves that aren't empty in here.+__
There is this food section.+ I think I see some food cans and some fruits.+__
I can see a kind of craft section behind me too.+ There might be useful tools in here!+__</t>
  </si>
  <si>
    <t>Grocery section</t>
  </si>
  <si>
    <t>Okay!+__
I'm hungry as hell, I wouldn't say no to a little snack.+__
*footsteps*+__
...+__
*snif*+__
OH G-...+ IT SMELLS TERRIBLE OVER HERE!+__
Shelves are filled with rotten fruits and vegeta-...+__
*glurp*
Oh lord I almost threw up...+__</t>
  </si>
  <si>
    <t>Craft section</t>
  </si>
  <si>
    <t>Right, let's go!+ A good hammer is always useful, especially in the kind of situation I'm in I guess.+__
*footsteps*+__
...Alright! Here I am.+__
There is far less things on the shelves than what I've imagined.+__
There is some door-wedge, packs of rusty nails..</t>
  </si>
  <si>
    <t>No trust Grocery section</t>
  </si>
  <si>
    <t xml:space="preserve">Uhm...+ I don't think going to this section will help me stopping an escalator...+__
I'm going to the Craft section.+ *footsteps*+ ...Alright! Here I am.+__
There is far less things on the shelves than what I've imagined.+__
There is some door-wedge, packs of rusty nails and-Oh!+ A huge wire cutting pliers! That's what I'm talking about!+__
I'm picking it up.+ This might come handy if I have to smash something...+ Or someone.+__
</t>
  </si>
  <si>
    <t>No trust Craft section</t>
  </si>
  <si>
    <t>You sure?+ I mean, I'm hungry as hell, so I might take a bite if there was anything to eat.+__
*footsteps*...+ *snif*+__
OH G-...+ IT SMELLS TERRIBLE OVER HERE!+__
Shelves are filled with rotten fruits and vegeta-...+__
*glurp*+ Oh lord I almost threw up...+__</t>
  </si>
  <si>
    <t>Go back to craft section</t>
  </si>
  <si>
    <t>Y-you're right... It's best to get out of here before I-...+ *footsteps*+__
...Oof, one more second and I think I would have passed out.+ Anyway, here I am.+__
There is far less things on the shelves than what I've imagined.+__
There is some door-wedge and rusty nails...+ Nothing that could be useful in the end.+__</t>
  </si>
  <si>
    <t>Keep going food section</t>
  </si>
  <si>
    <t>Yeah, I guess, but it's on-*glurp*...+ Only because you asked me nicely...+_
*footsteps*+ ...Good heavens, aren't these trash supposed to be eaten by the bugs?+__
Wait?+ There's a cereal bar over here that still is good to eat!+ *crunch*+ yum... thatch good to eat shomething...+__</t>
  </si>
  <si>
    <t>Door craft section</t>
  </si>
  <si>
    <t>I see... a door down the hall.+__
*footsteps*+__
I hear some sound behind it...+ What do I do?+__</t>
  </si>
  <si>
    <t>Alright. Let's do it the hard way.+__
*KICK*+ POLICE, DON'T MOVE!...+ ouch ouch ouch! My foot hurt as hell now...+__
Great! the door was clearly open ! And there's no one here anyway... This door wasn't worth kicking.+__
It's just a security room.+ Everything seems out of pow-+__
...Oh my bad, seems to be one thing still working!+__</t>
  </si>
  <si>
    <t>Okay... Carefully...+__
...+Well, there is clearly no one here.+__
It's an old security room it seems, everything is out of power.+__
Oh no, my bad, the beeping sound is coming from here!+__</t>
  </si>
  <si>
    <t>Door food section</t>
  </si>
  <si>
    <t>Let me see...+ Ah AH!+ There's a door over here!+__
There is a sign with "Maintenance Room" marked on it.+__
Lucky me, it seems unlocked.+ *sound of door opening*+__
...+Well yeah,+ that surely looks like a maintenance room, or more like an abandonned maintenance room.+__
...Oh my bad, seems to be one thing still working!+__</t>
  </si>
  <si>
    <t>I-It's uuuuh...+ A laptop, seems to be on the lockscreen.+__
There's a post-it attached on the upper right corner of it.+ It says "vaccine rabies year"...+__
I don't know when that thing was!+__
...What?+ I don't remember how I got here in the first place, don't expect me to remember this!+__
Anyway, you might want to search for that on the internet, it's a 4 digit password.+ I'll try to log in.+__</t>
  </si>
  <si>
    <t xml:space="preserve"> </t>
  </si>
  <si>
    <t>Just have to press enter and...+__
OH SHIT !!+__
THERE'S A FUCKING TIMER IN HERE, IT'S BEEPING !+__
I think the "vaccine rabies year" shit might be the password, FIND IT NOW !+__
I don't know what will happen if it reaches 0 BUT I DON'T WANT TO FIND OUT !+__
HURRY UP, WHAT'S THE PASSWORD ?!+__</t>
  </si>
  <si>
    <t xml:space="preserve">ALRIGHT, I'LL TYPE THIS...+__
Oh...+ Looks like the beeping sound sto-+*BOOO*-+SHKRRRRRRRRRRRRR...+__
</t>
  </si>
  <si>
    <t xml:space="preserve">*Static*+__
…+__
--SIGNAL LOST--+__
</t>
  </si>
  <si>
    <t xml:space="preserve">Alright, alright...+__
I HOPE YOU'RE RIGHT!+__
Please don't expload, please don't explode, please don't explode...+__
...+__
</t>
  </si>
  <si>
    <t>Y-yes?+__
I think I am?+__
...+I don't hear the escalator rumbling anymore, I think we've stopped it.+__</t>
  </si>
  <si>
    <t>Go see the stopped elevator</t>
  </si>
  <si>
    <t>I'm going to go and see if that's really what happened...+__
Damn,+ I wonder what would have happened if we didn't type the password in time.+__
It might be better to forget about it right now.+__
*footsteps*+ ...Anyway, I see it from here. The escalator stopped as I was thinking.+__</t>
  </si>
  <si>
    <t xml:space="preserve">Let's find out!+__
*footsteps*+__
...+Ahah! Yes! There's a door leading outside right here!+__
A bit of sunlight feels good after being in this gloomy supermarket.+__
</t>
  </si>
  <si>
    <t>What?+__
I'm still stucked on this island!+ I need your help until I get out of here!+__
I know that you didn't expected to help someone in danger today but we're talking about life and death at this point.+__</t>
  </si>
  <si>
    <t>*sigh*...+__
I'd like to see you in my position.+ You would have hanged up if all of this didn't pique your interest, right?+__
So stop trying to make everything about you and let's find out what's going on in this island.+__</t>
  </si>
  <si>
    <t>I think I landed in the main square of the city.+ The buildings seems more high compared to the one I've seen before+__
There are multiple signs with different types of locations marked on it.+__
And there is something weird at the middle of this place...+__</t>
  </si>
  <si>
    <t>It's...+__ A huge mechanical trapdoor.+__
There's a huge "EXIT" word tagged on it.+__</t>
  </si>
  <si>
    <t>AHAHAHAH!+ You're right!+__
Now, how do I open this thing?+ There are no visible handles and it looks far too resistant to be opened with my bare hands.+__
Please tell me tha-… Oh!+ There's a command pannel over here!+__
…+There's clearly a fuse missing here…+__</t>
  </si>
  <si>
    <t>Y-You might be right, but that's the first time I see something that brings me hope of getting out of here.+__
If there is a single chance that this trapdoor brings me back to civilization, I'll do everything to open it.+__</t>
  </si>
  <si>
    <t>Well… There's no handle attached to it anywhere…+__
HNNG!+ huff…+ I can't open it with my bare hands neither.+__
It seems locked by some kind of electrical mechanism that leads to this control panel+__
…+There's clearly a fuse missing here…+__</t>
  </si>
  <si>
    <t>I don't know, but it's our only lead for now, so I'll make it my main objective from now on!+_
...+I don't know where to start now...+__</t>
  </si>
  <si>
    <t>No, I checked pretty much every shelves while I was inside and there was nothing but dust on them+__
There might be other interesting locations out there.+__
#%SeA+rCh wE+LL=#</t>
  </si>
  <si>
    <t>Can't you just trust me for a second?+__
I told you I checked everything, this damn place back then was filled with ruins and nothing more.+__
...+There are signs leading to 2 different locations in here. On is leading to a factory and the other to a zoo.+__</t>
  </si>
  <si>
    <t>Uuuh...+__
I don't know...+ You're the one that got me out of the supermarket, so I'll let you choose!+__
Where do you want me to go explore?+__
The zoo or the factory?+__</t>
  </si>
  <si>
    <t>I can search a bit more since you're nice...+__
Oh!+ My bad.+ There is an hidden sign behind the bushes.+ It says "museum"+__
Here you go!+ A third location to explore.+__</t>
  </si>
  <si>
    <t>Uuuh...+__
I don't know...+ You're the one that got me out of the supermarket, so I'll let you choose!+__
Where do you want me to go explore?+__
The zoo, the factory or the museum?+__</t>
  </si>
  <si>
    <t>Hmmm... The buildings here look exactly the same compared to the one I crossed before calling you...+__
Hey!...+There are signs leading to 2 different locations in here. On is leading to a factory and the other to a zoo.+__</t>
  </si>
  <si>
    <t>I would have said that there were more signs if that was the case.+__
So, no, there's nothing else here. What then?+__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</si>
</sst>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B05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showFormulas="1" tabSelected="1" zoomScale="85" zoomScaleNormal="85" workbookViewId="0"/>
  </sheetViews>
  <sheetFormatPr baseColWidth="10" defaultColWidth="35.85546875" defaultRowHeight="168" customHeight="1" x14ac:dyDescent="0.25"/>
  <cols>
    <col min="1" max="1" width="19.28515625" style="2" customWidth="1"/>
    <col min="2" max="2" width="19.28515625" style="5" customWidth="1"/>
    <col min="3" max="3" width="54.42578125" style="12" customWidth="1"/>
    <col min="4" max="8" width="58.7109375" style="10" customWidth="1"/>
    <col min="9" max="9" width="15.140625" style="9" customWidth="1"/>
    <col min="10" max="10" width="35.85546875" style="9"/>
  </cols>
  <sheetData>
    <row r="1" spans="1:10" s="15" customFormat="1" ht="24" customHeight="1" x14ac:dyDescent="0.25">
      <c r="A1" s="3" t="s">
        <v>0</v>
      </c>
      <c r="B1" s="8" t="s">
        <v>1</v>
      </c>
      <c r="C1" s="4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4" t="s">
        <v>8</v>
      </c>
      <c r="J1" s="4" t="s">
        <v>9</v>
      </c>
    </row>
    <row r="2" spans="1:10" ht="168" customHeight="1" x14ac:dyDescent="0.25">
      <c r="A2" s="1">
        <v>1</v>
      </c>
      <c r="B2" s="5" t="s">
        <v>10</v>
      </c>
      <c r="C2" s="10" t="s">
        <v>11</v>
      </c>
      <c r="D2" s="10" t="str">
        <f>"&lt;(" &amp; A3  &amp; ") 1 - Pick up"  &amp; "__"</f>
        <v>&lt;(2) 1 - Pick up__</v>
      </c>
      <c r="E2" s="10" t="str">
        <f>"&lt;^(" &amp; A4  &amp; ") 2 - Hang up"  &amp; "__"</f>
        <v>&lt;^(3) 2 - Hang up__</v>
      </c>
      <c r="I2" s="9" t="s">
        <v>12</v>
      </c>
    </row>
    <row r="3" spans="1:10" ht="168" customHeight="1" x14ac:dyDescent="0.25">
      <c r="A3" s="2">
        <v>2</v>
      </c>
      <c r="B3" s="5" t="s">
        <v>13</v>
      </c>
      <c r="C3" s="10" t="s">
        <v>14</v>
      </c>
      <c r="D3" s="10" t="str">
        <f>"&lt;(" &amp; A5  &amp; ") 1 -  Hello?"  &amp; "__"</f>
        <v>&lt;(4) 1 -  Hello?__</v>
      </c>
    </row>
    <row r="4" spans="1:10" ht="168" customHeight="1" x14ac:dyDescent="0.25">
      <c r="A4" s="1">
        <v>3</v>
      </c>
      <c r="B4" s="6" t="s">
        <v>15</v>
      </c>
      <c r="C4" s="10" t="s">
        <v>16</v>
      </c>
      <c r="D4" s="10" t="str">
        <f>"$" &amp;A2  &amp; " 1 - Retry"  &amp; "__"</f>
        <v>$1 1 - Retry__</v>
      </c>
    </row>
    <row r="5" spans="1:10" ht="168" customHeight="1" x14ac:dyDescent="0.25">
      <c r="A5" s="2">
        <v>4</v>
      </c>
      <c r="B5" s="5" t="s">
        <v>17</v>
      </c>
      <c r="C5" s="10" t="s">
        <v>18</v>
      </c>
      <c r="D5" s="10" t="str">
        <f>"&lt;(" &amp; A7  &amp; ") 1 - What? I can’t understand half of what you’re saying! "  &amp; "__"</f>
        <v>&lt;(6) 1 - What? I can’t understand half of what you’re saying! __</v>
      </c>
      <c r="E5" s="10" t="str">
        <f>"&lt;(" &amp; A6  &amp; ") 2 - Who are you?"  &amp; "__"</f>
        <v>&lt;(5) 2 - Who are you?__</v>
      </c>
    </row>
    <row r="6" spans="1:10" ht="168" customHeight="1" x14ac:dyDescent="0.25">
      <c r="A6" s="1">
        <v>5</v>
      </c>
      <c r="B6" s="5" t="s">
        <v>19</v>
      </c>
      <c r="C6" s="10" t="s">
        <v>20</v>
      </c>
      <c r="D6" s="10" t="str">
        <f>"&lt;(" &amp; A7  &amp; ") 1 -  Your signal’s horrible!"  &amp; "__"</f>
        <v>&lt;(6) 1 -  Your signal’s horrible!__</v>
      </c>
    </row>
    <row r="7" spans="1:10" ht="168" customHeight="1" x14ac:dyDescent="0.25">
      <c r="A7" s="2">
        <v>6</v>
      </c>
      <c r="B7" s="5" t="s">
        <v>21</v>
      </c>
      <c r="C7" s="10" t="s">
        <v>22</v>
      </c>
      <c r="D7" s="10" t="str">
        <f>"&lt;(" &amp; A8 &amp; ") 1 - I think so?"  &amp; "__"</f>
        <v>&lt;(7) 1 - I think so?__</v>
      </c>
    </row>
    <row r="8" spans="1:10" ht="168" customHeight="1" x14ac:dyDescent="0.25">
      <c r="A8" s="1">
        <v>7</v>
      </c>
      <c r="B8" s="5" t="s">
        <v>23</v>
      </c>
      <c r="C8" s="10" t="s">
        <v>24</v>
      </c>
      <c r="D8" s="10" t="str">
        <f>"&lt;(" &amp; A9  &amp; ") 1 - Are you in danger?"  &amp; "__"</f>
        <v>&lt;(8) 1 - Are you in danger?__</v>
      </c>
      <c r="E8" s="10" t="str">
        <f>"&lt;(" &amp; A10  &amp; ") 2 - Where are you?"  &amp; "__"</f>
        <v>&lt;(9) 2 - Where are you?__</v>
      </c>
      <c r="F8" s="10" t="str">
        <f>"&lt;(" &amp; A11  &amp; ") 3 - Why did you call me?"  &amp; "__"</f>
        <v>&lt;(10) 3 - Why did you call me?__</v>
      </c>
    </row>
    <row r="9" spans="1:10" ht="168" customHeight="1" x14ac:dyDescent="0.25">
      <c r="A9" s="2">
        <v>8</v>
      </c>
      <c r="B9" s="5" t="s">
        <v>25</v>
      </c>
      <c r="C9" s="10" t="s">
        <v>26</v>
      </c>
      <c r="D9" s="10" t="str">
        <f>"&lt;(" &amp; A14  &amp; ") 1 - Where are you?"  &amp; "__"</f>
        <v>&lt;(13) 1 - Where are you?__</v>
      </c>
      <c r="E9" s="10" t="str">
        <f>"&lt;(" &amp; A16  &amp; ") 2 - Why did you call me?"  &amp; "__"</f>
        <v>&lt;(15) 2 - Why did you call me?__</v>
      </c>
      <c r="F9" s="10" t="str">
        <f>"&lt;(" &amp; A22  &amp; ") 3 - Stop. Is that a prank call?"  &amp; "__"</f>
        <v>&lt;(21) 3 - Stop. Is that a prank call?__</v>
      </c>
    </row>
    <row r="10" spans="1:10" ht="168" customHeight="1" x14ac:dyDescent="0.25">
      <c r="A10" s="1">
        <v>9</v>
      </c>
      <c r="B10" s="5" t="s">
        <v>27</v>
      </c>
      <c r="C10" s="10" t="s">
        <v>28</v>
      </c>
      <c r="D10" s="10" t="str">
        <f>"&lt;(" &amp; A12  &amp; ") 1 -  Are you in danger?"  &amp; "__"</f>
        <v>&lt;(11) 1 -  Are you in danger?__</v>
      </c>
      <c r="E10" s="10" t="str">
        <f>"&lt;(" &amp; A17  &amp; ") 2 - Why call me though?"  &amp; "__"</f>
        <v>&lt;(16) 2 - Why call me though?__</v>
      </c>
      <c r="F10" s="10" t="str">
        <f>"&lt;(" &amp; A22  &amp; ") 3 - Enough. Are you trying to prank me?"  &amp; "__"</f>
        <v>&lt;(21) 3 - Enough. Are you trying to prank me?__</v>
      </c>
    </row>
    <row r="11" spans="1:10" ht="168" customHeight="1" x14ac:dyDescent="0.25">
      <c r="A11" s="2">
        <v>10</v>
      </c>
      <c r="B11" s="5" t="s">
        <v>29</v>
      </c>
      <c r="C11" s="10" t="s">
        <v>30</v>
      </c>
      <c r="D11" s="10" t="str">
        <f>"&lt;(" &amp; A13  &amp; ") 1 -  Are in danger?"  &amp; "__"</f>
        <v>&lt;(12) 1 -  Are in danger?__</v>
      </c>
      <c r="E11" s="10" t="str">
        <f>"&lt;(" &amp; A15  &amp; ") 2 - Where are you?"  &amp; "__"</f>
        <v>&lt;(14) 2 - Where are you?__</v>
      </c>
      <c r="F11" s="10" t="str">
        <f>"&lt;(" &amp; A22  &amp; ") 3 - Cut it off, just tell that's a prank."  &amp; "__"</f>
        <v>&lt;(21) 3 - Cut it off, just tell that's a prank.__</v>
      </c>
    </row>
    <row r="12" spans="1:10" ht="168" customHeight="1" x14ac:dyDescent="0.25">
      <c r="A12" s="1">
        <v>11</v>
      </c>
      <c r="B12" s="5" t="s">
        <v>31</v>
      </c>
      <c r="C12" s="10" t="s">
        <v>32</v>
      </c>
      <c r="D12" s="10" t="str">
        <f>"&lt;(" &amp; A20  &amp; ") 1 - Why me of all people?"  &amp; "__"</f>
        <v>&lt;(19) 1 - Why me of all people?__</v>
      </c>
      <c r="E12" s="10" t="str">
        <f>"&lt;(" &amp; A21  &amp; ") 2 - Ok, what's next?"  &amp; "__"</f>
        <v>&lt;(20) 2 - Ok, what's next?__</v>
      </c>
    </row>
    <row r="13" spans="1:10" ht="168" customHeight="1" x14ac:dyDescent="0.25">
      <c r="A13" s="2">
        <v>12</v>
      </c>
      <c r="B13" s="5" t="s">
        <v>33</v>
      </c>
      <c r="C13" s="10" t="s">
        <v>34</v>
      </c>
      <c r="D13" s="10" t="str">
        <f>"&lt;(" &amp; A19  &amp; ") 1 - Where are you, exactly?"  &amp; "__"</f>
        <v>&lt;(18) 1 - Where are you, exactly?__</v>
      </c>
      <c r="E13" s="10" t="str">
        <f>"&lt;(" &amp; A21  &amp; ") 2 - And what does that mean for me?"  &amp; "__"</f>
        <v>&lt;(20) 2 - And what does that mean for me?__</v>
      </c>
    </row>
    <row r="14" spans="1:10" ht="168" customHeight="1" x14ac:dyDescent="0.25">
      <c r="A14" s="1">
        <v>13</v>
      </c>
      <c r="B14" s="5" t="s">
        <v>35</v>
      </c>
      <c r="C14" s="10" t="s">
        <v>36</v>
      </c>
      <c r="D14" s="10" t="str">
        <f>"&lt;(" &amp; A20  &amp; ") 1 - Why'd you call me?"  &amp; "__"</f>
        <v>&lt;(19) 1 - Why'd you call me?__</v>
      </c>
      <c r="E14" s="10" t="str">
        <f>"&lt;(" &amp; A21  &amp; ") 2 - I'm sorry, but how can I help?"  &amp; "__"</f>
        <v>&lt;(20) 2 - I'm sorry, but how can I help?__</v>
      </c>
    </row>
    <row r="15" spans="1:10" ht="168" customHeight="1" x14ac:dyDescent="0.25">
      <c r="A15" s="2">
        <v>14</v>
      </c>
      <c r="B15" s="5" t="s">
        <v>37</v>
      </c>
      <c r="C15" s="10" t="s">
        <v>38</v>
      </c>
      <c r="D15" s="10" t="str">
        <f>"&lt;(" &amp; A18  &amp; ") 1 - Survive? Are you in danger?" &amp; "__"</f>
        <v>&lt;(17) 1 - Survive? Are you in danger?__</v>
      </c>
      <c r="E15" s="10" t="str">
        <f>"&lt;(" &amp; A21  &amp; ") 2 - I don't know what to tell you..."  &amp; "__"</f>
        <v>&lt;(20) 2 - I don't know what to tell you...__</v>
      </c>
    </row>
    <row r="16" spans="1:10" ht="168" customHeight="1" x14ac:dyDescent="0.25">
      <c r="A16" s="1">
        <v>15</v>
      </c>
      <c r="B16" s="5" t="s">
        <v>39</v>
      </c>
      <c r="C16" s="10" t="s">
        <v>40</v>
      </c>
      <c r="D16" s="10" t="str">
        <f>"&lt;(" &amp; A19  &amp; ") 1 -  Where are you?" &amp; "__"</f>
        <v>&lt;(18) 1 -  Where are you?__</v>
      </c>
      <c r="E16" s="10" t="str">
        <f>"&lt;(" &amp; A21 &amp; ") 2 - So, what do you expect from me?"  &amp; "__"</f>
        <v>&lt;(20) 2 - So, what do you expect from me?__</v>
      </c>
    </row>
    <row r="17" spans="1:6" ht="168" customHeight="1" x14ac:dyDescent="0.25">
      <c r="A17" s="2">
        <v>16</v>
      </c>
      <c r="B17" s="5" t="s">
        <v>41</v>
      </c>
      <c r="C17" s="10" t="s">
        <v>42</v>
      </c>
      <c r="D17" s="10" t="str">
        <f>"&lt;(" &amp; A18  &amp; ") 1 - Okay, are you in danger?"  &amp; "__"</f>
        <v>&lt;(17) 1 - Okay, are you in danger?__</v>
      </c>
      <c r="E17" s="10" t="str">
        <f>"&lt;(" &amp; A21  &amp; ") 2 - What could I do about that?"  &amp; "__"</f>
        <v>&lt;(20) 2 - What could I do about that?__</v>
      </c>
    </row>
    <row r="18" spans="1:6" ht="168" customHeight="1" x14ac:dyDescent="0.25">
      <c r="A18" s="1">
        <v>17</v>
      </c>
      <c r="B18" s="5" t="s">
        <v>43</v>
      </c>
      <c r="C18" s="10" t="s">
        <v>44</v>
      </c>
      <c r="D18" s="10" t="str">
        <f>"&lt;(" &amp; A22  &amp; ") 1 - I don't know, feels kinda hard to believe... It is a prank?"  &amp; "__"</f>
        <v>&lt;(21) 1 - I don't know, feels kinda hard to believe... It is a prank?__</v>
      </c>
      <c r="E18" s="10" t="str">
        <f>"&lt;(" &amp; A27  &amp; ") 2 - Okay, keep calm, there must be an explanation. @"  &amp; "__"</f>
        <v>&lt;(26) 2 - Okay, keep calm, there must be an explanation. @__</v>
      </c>
    </row>
    <row r="19" spans="1:6" ht="168" customHeight="1" x14ac:dyDescent="0.25">
      <c r="A19" s="2">
        <v>18</v>
      </c>
      <c r="B19" s="5" t="s">
        <v>45</v>
      </c>
      <c r="C19" s="10" t="s">
        <v>46</v>
      </c>
      <c r="D19" s="10" t="str">
        <f>"&lt;(" &amp; A22  &amp; ") 1 - What's telling me this isn't a bad prank?"  &amp; "__"</f>
        <v>&lt;(21) 1 - What's telling me this isn't a bad prank?__</v>
      </c>
      <c r="E19" s="10" t="str">
        <f>"&lt;(" &amp; A27  &amp; ") 2 - Stay connected, I'll help you. @"  &amp; "__"</f>
        <v>&lt;(26) 2 - Stay connected, I'll help you. @__</v>
      </c>
    </row>
    <row r="20" spans="1:6" ht="168" customHeight="1" x14ac:dyDescent="0.25">
      <c r="A20" s="1">
        <v>19</v>
      </c>
      <c r="B20" s="5" t="s">
        <v>47</v>
      </c>
      <c r="C20" s="10" t="s">
        <v>48</v>
      </c>
      <c r="D20" s="10" t="str">
        <f>"&lt;(" &amp; A22  &amp; ") 1 - Kind of ruining your credibilty with the conspiracy stuff, that feels like a prank."  &amp; "__"</f>
        <v>&lt;(21) 1 - Kind of ruining your credibilty with the conspiracy stuff, that feels like a prank.__</v>
      </c>
      <c r="E20" s="10" t="str">
        <f>"&lt;(" &amp; A27  &amp; ") 2 - Yeah, definitely, let's get you out of here. @"  &amp; "__"</f>
        <v>&lt;(26) 2 - Yeah, definitely, let's get you out of here. @__</v>
      </c>
    </row>
    <row r="21" spans="1:6" ht="168" customHeight="1" x14ac:dyDescent="0.25">
      <c r="A21" s="2">
        <v>20</v>
      </c>
      <c r="B21" s="5" t="s">
        <v>49</v>
      </c>
      <c r="C21" s="10" t="s">
        <v>50</v>
      </c>
      <c r="D21" s="10" t="str">
        <f>"&lt;(" &amp; A23  &amp; ") 1 - I'm gonna call the cops, it really doesn't feel safe."  &amp; "__"</f>
        <v>&lt;(22) 1 - I'm gonna call the cops, it really doesn't feel safe.__</v>
      </c>
      <c r="E21" s="10" t="str">
        <f>"&lt;(" &amp; A25  &amp; ") 2 - Is it... Really my problem? |"  &amp; "__"</f>
        <v>&lt;(24) 2 - Is it... Really my problem? |__</v>
      </c>
      <c r="F21" s="10" t="str">
        <f>"&lt;(" &amp; A27  &amp; ") 3 - I still don't really know if I can provide much help, but I'll try..."  &amp; "__"</f>
        <v>&lt;(26) 3 - I still don't really know if I can provide much help, but I'll try...__</v>
      </c>
    </row>
    <row r="22" spans="1:6" ht="168" customHeight="1" x14ac:dyDescent="0.25">
      <c r="A22" s="1">
        <v>21</v>
      </c>
      <c r="B22" s="5" t="s">
        <v>51</v>
      </c>
      <c r="C22" s="10" t="s">
        <v>52</v>
      </c>
      <c r="D22" s="10" t="str">
        <f>"&lt;(" &amp; A23  &amp; ") 1 - I should call the police."  &amp; "__"</f>
        <v>&lt;(22) 1 - I should call the police.__</v>
      </c>
      <c r="E22" s="10" t="str">
        <f>"&lt;(" &amp; A25  &amp; ") 2 - How's that my concern? |"  &amp; "__"</f>
        <v>&lt;(24) 2 - How's that my concern? |__</v>
      </c>
      <c r="F22" s="10" t="str">
        <f>"&lt;(" &amp; A27  &amp; ") 3 - Okay, I'll try and work something out with you."  &amp; "__"</f>
        <v>&lt;(26) 3 - Okay, I'll try and work something out with you.__</v>
      </c>
    </row>
    <row r="23" spans="1:6" ht="168" customHeight="1" x14ac:dyDescent="0.25">
      <c r="A23" s="2">
        <v>22</v>
      </c>
      <c r="B23" s="5" t="s">
        <v>53</v>
      </c>
      <c r="C23" s="11" t="s">
        <v>54</v>
      </c>
      <c r="D23" s="10" t="str">
        <f>"&lt;(" &amp; A24  &amp; ") 1 - Yup, I'm calling the police. Hold on, I'll call you back."  &amp; "__"</f>
        <v>&lt;(23) 1 - Yup, I'm calling the police. Hold on, I'll call you back.__</v>
      </c>
      <c r="E23" s="10" t="str">
        <f>"&lt;(" &amp; A28  &amp; ") 2 - Okay, okay! Let's not panic."  &amp; "__"</f>
        <v>&lt;(27) 2 - Okay, okay! Let's not panic.__</v>
      </c>
    </row>
    <row r="24" spans="1:6" ht="168" customHeight="1" x14ac:dyDescent="0.25">
      <c r="A24" s="1">
        <v>23</v>
      </c>
      <c r="B24" s="5" t="s">
        <v>55</v>
      </c>
      <c r="C24" s="10" t="s">
        <v>56</v>
      </c>
      <c r="D24" s="10" t="str">
        <f>"$" &amp;A2  &amp; " 1 - Retry"  &amp; "__"</f>
        <v>$1 1 - Retry__</v>
      </c>
    </row>
    <row r="25" spans="1:6" ht="168" customHeight="1" x14ac:dyDescent="0.25">
      <c r="A25" s="2">
        <v>24</v>
      </c>
      <c r="B25" s="5" t="s">
        <v>57</v>
      </c>
      <c r="C25" s="10" t="s">
        <v>58</v>
      </c>
      <c r="D25" s="10" t="str">
        <f>"&lt;(" &amp; A26  &amp; ") 1 -  I have nothing to do with you. Please don’t call me again."  &amp; "__"</f>
        <v>&lt;(25) 1 -  I have nothing to do with you. Please don’t call me again.__</v>
      </c>
      <c r="E25" s="10" t="str">
        <f>"&lt;(" &amp; A28  &amp; ") 2 - Fine...How can I help you?"  &amp; "__"</f>
        <v>&lt;(27) 2 - Fine...How can I help you?__</v>
      </c>
    </row>
    <row r="26" spans="1:6" ht="168" customHeight="1" x14ac:dyDescent="0.25">
      <c r="A26" s="1">
        <v>25</v>
      </c>
      <c r="B26" s="5" t="s">
        <v>59</v>
      </c>
      <c r="C26" s="10" t="s">
        <v>60</v>
      </c>
      <c r="D26" s="10" t="str">
        <f>"$" &amp;A2  &amp; " 1 - Retry"  &amp; "__"</f>
        <v>$1 1 - Retry__</v>
      </c>
    </row>
    <row r="27" spans="1:6" ht="168" customHeight="1" x14ac:dyDescent="0.25">
      <c r="A27" s="2">
        <v>26</v>
      </c>
      <c r="B27" s="5" t="s">
        <v>61</v>
      </c>
      <c r="C27" s="10" t="s">
        <v>62</v>
      </c>
      <c r="D27" s="7" t="str">
        <f>"&lt;(" &amp; A29  &amp; ") 1 - I couldn't just leave you there!"  &amp; "__"</f>
        <v>&lt;(28) 1 - I couldn't just leave you there!__</v>
      </c>
    </row>
    <row r="28" spans="1:6" ht="168" customHeight="1" x14ac:dyDescent="0.25">
      <c r="A28" s="1">
        <v>27</v>
      </c>
      <c r="B28" s="5" t="s">
        <v>63</v>
      </c>
      <c r="C28" s="10" t="s">
        <v>64</v>
      </c>
      <c r="D28" s="7" t="str">
        <f>"&lt;(" &amp; A29  &amp; ") 1 - Alright, what's next?"  &amp; "__"</f>
        <v>&lt;(28) 1 - Alright, what's next?__</v>
      </c>
    </row>
    <row r="29" spans="1:6" ht="168" customHeight="1" x14ac:dyDescent="0.25">
      <c r="A29" s="2">
        <v>28</v>
      </c>
      <c r="B29" s="5" t="s">
        <v>65</v>
      </c>
      <c r="C29" s="10" t="s">
        <v>66</v>
      </c>
      <c r="D29" s="7" t="str">
        <f>"&lt;(" &amp; A30 &amp; ") 1 - Sounds dangerous. Can’t you just go back?"  &amp; "__"</f>
        <v>&lt;(29) 1 - Sounds dangerous. Can’t you just go back?__</v>
      </c>
      <c r="E29" s="10" t="str">
        <f>"&lt;(" &amp; A31  &amp; ") 2 - Maybe there's someone there ! You should go see where it comes from"  &amp; "__"</f>
        <v>&lt;(30) 2 - Maybe there's someone there ! You should go see where it comes from__</v>
      </c>
    </row>
    <row r="30" spans="1:6" ht="168" customHeight="1" x14ac:dyDescent="0.25">
      <c r="A30" s="1">
        <v>29</v>
      </c>
      <c r="B30" s="5" t="s">
        <v>67</v>
      </c>
      <c r="C30" s="10" t="s">
        <v>68</v>
      </c>
      <c r="D30" s="10" t="str">
        <f>"&lt;(" &amp; A32  &amp; ") 1 - You do you. Won't be my fault if you get hurt. |"  &amp; "__"</f>
        <v>&lt;(31) 1 - You do you. Won't be my fault if you get hurt. |__</v>
      </c>
      <c r="E30" s="10" t="str">
        <f>"&lt;(" &amp; A31  &amp; ") 2 - You might be right, any help is welcome at this point. @"  &amp; "__"</f>
        <v>&lt;(30) 2 - You might be right, any help is welcome at this point. @__</v>
      </c>
    </row>
    <row r="31" spans="1:6" ht="168" customHeight="1" x14ac:dyDescent="0.25">
      <c r="A31" s="2">
        <v>30</v>
      </c>
      <c r="B31" s="5" t="s">
        <v>69</v>
      </c>
      <c r="C31" s="10" t="s">
        <v>70</v>
      </c>
      <c r="D31" s="10" t="str">
        <f>"&lt;(" &amp; A31  &amp; ") 1 - So? What is it?"  &amp; "__"</f>
        <v>&lt;(30) 1 - So? What is it?__</v>
      </c>
    </row>
    <row r="32" spans="1:6" ht="168" customHeight="1" x14ac:dyDescent="0.25">
      <c r="A32" s="1">
        <v>31</v>
      </c>
      <c r="B32" s="5" t="s">
        <v>71</v>
      </c>
      <c r="C32" s="10" t="s">
        <v>72</v>
      </c>
      <c r="D32" s="10" t="str">
        <f>"&lt;(" &amp; A31  &amp; ") 1 - Found it?"  &amp; "__"</f>
        <v>&lt;(30) 1 - Found it?__</v>
      </c>
    </row>
    <row r="33" spans="1:7" ht="168" customHeight="1" x14ac:dyDescent="0.25">
      <c r="A33" s="2">
        <v>32</v>
      </c>
      <c r="B33" s="5" t="s">
        <v>73</v>
      </c>
      <c r="C33" s="10" t="s">
        <v>74</v>
      </c>
      <c r="D33" s="10" t="str">
        <f>"&lt;(" &amp; A34  &amp; ") 1 - Why is it making this ruckus?"  &amp; "__"</f>
        <v>&lt;(33) 1 - Why is it making this ruckus?__</v>
      </c>
      <c r="E33" s="10" t="str">
        <f>"&lt;(" &amp; A35  &amp; ") 2 - Why is it still working in an abandonned supermarket?"  &amp; "__"</f>
        <v>&lt;(34) 2 - Why is it still working in an abandonned supermarket?__</v>
      </c>
      <c r="F33" s="10" t="str">
        <f>"&lt;(" &amp; A36  &amp; ") 3 - Where does it lead?"  &amp; "__"</f>
        <v>&lt;(35) 3 - Where does it lead?__</v>
      </c>
    </row>
    <row r="34" spans="1:7" ht="168" customHeight="1" x14ac:dyDescent="0.25">
      <c r="A34" s="1">
        <v>33</v>
      </c>
      <c r="B34" s="5" t="s">
        <v>75</v>
      </c>
      <c r="C34" s="10" t="s">
        <v>76</v>
      </c>
      <c r="D34" s="10" t="str">
        <f>"&lt;(" &amp; A35  &amp; ") 1 - I wonder why this thing is even working."  &amp; "__"</f>
        <v>&lt;(34) 1 - I wonder why this thing is even working.__</v>
      </c>
      <c r="E34" s="10" t="str">
        <f>"&lt;(" &amp; A36  &amp; ") 2 - Where does it lead?"  &amp; "__"</f>
        <v>&lt;(35) 2 - Where does it lead?__</v>
      </c>
      <c r="F34" s="10" t="str">
        <f>"&lt;(" &amp; A37  &amp; ") 3 - Try to take a step."  &amp; "__"</f>
        <v>&lt;(36) 3 - Try to take a step.__</v>
      </c>
      <c r="G34" s="10" t="str">
        <f>"&lt;(" &amp; A41  &amp; ") 4 - Can you see anything that could help?"  &amp; "__"</f>
        <v>&lt;(40) 4 - Can you see anything that could help?__</v>
      </c>
    </row>
    <row r="35" spans="1:7" ht="168" customHeight="1" x14ac:dyDescent="0.25">
      <c r="A35" s="2">
        <v>34</v>
      </c>
      <c r="B35" s="5" t="s">
        <v>77</v>
      </c>
      <c r="C35" s="10" t="s">
        <v>78</v>
      </c>
      <c r="D35" s="10" t="str">
        <f>"&lt;(" &amp; A37  &amp; ") 1 - Maybe you'll get answers by going to the first floor." &amp; "__"</f>
        <v>&lt;(36) 1 - Maybe you'll get answers by going to the first floor.__</v>
      </c>
      <c r="E35" s="10" t="str">
        <f>"&lt;(" &amp; A36  &amp; ") 2 - Where does it lead?"  &amp; "__"</f>
        <v>&lt;(35) 2 - Where does it lead?__</v>
      </c>
      <c r="F35" s="10" t="str">
        <f>"&lt;(" &amp; A34  &amp; ") 3 - Why is it making this much noise?"  &amp; "__"</f>
        <v>&lt;(33) 3 - Why is it making this much noise?__</v>
      </c>
      <c r="G35" s="10" t="str">
        <f>"&lt;(" &amp; A41  &amp; ") 4 - Is there anything else around you?"  &amp; "__"</f>
        <v>&lt;(40) 4 - Is there anything else around you?__</v>
      </c>
    </row>
    <row r="36" spans="1:7" ht="168" customHeight="1" x14ac:dyDescent="0.25">
      <c r="A36" s="1">
        <v>35</v>
      </c>
      <c r="B36" s="5" t="s">
        <v>79</v>
      </c>
      <c r="C36" s="10" t="s">
        <v>80</v>
      </c>
      <c r="D36" s="10" t="str">
        <f>"&lt;(" &amp; A37  &amp; ") 1 - Nice! Try to climb it then."  &amp; "__"</f>
        <v>&lt;(36) 1 - Nice! Try to climb it then.__</v>
      </c>
      <c r="E36" s="10" t="str">
        <f>"&lt;(" &amp; A35  &amp; ") 2 - Why's that still working?"  &amp; "__"</f>
        <v>&lt;(34) 2 - Why's that still working?__</v>
      </c>
      <c r="F36" s="10" t="str">
        <f>"&lt;(" &amp; A34  &amp; ") 3 - Why is it so loud?"  &amp; "__"</f>
        <v>&lt;(33) 3 - Why is it so loud?__</v>
      </c>
      <c r="G36" s="10" t="str">
        <f>"&lt;(" &amp; A41  &amp; ") 4 - Can you find anything else?"  &amp; "__"</f>
        <v>&lt;(40) 4 - Can you find anything else?__</v>
      </c>
    </row>
    <row r="37" spans="1:7" ht="168" customHeight="1" x14ac:dyDescent="0.25">
      <c r="A37" s="2">
        <v>36</v>
      </c>
      <c r="B37" s="5" t="s">
        <v>81</v>
      </c>
      <c r="C37" s="10" t="s">
        <v>82</v>
      </c>
      <c r="D37" s="10" t="str">
        <f>"&lt;(" &amp; A38  &amp; ") 1 - Are you hurt?! |"  &amp; "__"</f>
        <v>&lt;(37) 1 - Are you hurt?! |__</v>
      </c>
    </row>
    <row r="38" spans="1:7" ht="168" customHeight="1" x14ac:dyDescent="0.25">
      <c r="A38" s="1">
        <v>37</v>
      </c>
      <c r="B38" s="5" t="s">
        <v>83</v>
      </c>
      <c r="C38" s="10" t="s">
        <v>84</v>
      </c>
      <c r="D38" s="10" t="str">
        <f>"&lt;(" &amp; A39  &amp; ") 1 - Right, sorry for that. @"  &amp; "__"</f>
        <v>&lt;(38) 1 - Right, sorry for that. @__</v>
      </c>
      <c r="E38" s="10" t="str">
        <f>"&lt;(" &amp; A40  &amp; ") 2 - You're the one who decided to listen to me. |"  &amp; "__"</f>
        <v>&lt;(39) 2 - You're the one who decided to listen to me. |__</v>
      </c>
    </row>
    <row r="39" spans="1:7" ht="168" customHeight="1" x14ac:dyDescent="0.25">
      <c r="A39" s="2">
        <v>38</v>
      </c>
      <c r="B39" s="5" t="s">
        <v>85</v>
      </c>
      <c r="C39" s="10" t="s">
        <v>86</v>
      </c>
      <c r="D39" s="10" t="str">
        <f>"&lt;(" &amp; A39  &amp; ") 1 - What do you see around you?"  &amp; "__"</f>
        <v>&lt;(38) 1 - What do you see around you?__</v>
      </c>
    </row>
    <row r="40" spans="1:7" ht="168" customHeight="1" x14ac:dyDescent="0.25">
      <c r="A40" s="1">
        <v>39</v>
      </c>
      <c r="B40" s="5" t="s">
        <v>87</v>
      </c>
      <c r="C40" s="10" t="s">
        <v>88</v>
      </c>
      <c r="D40" s="10" t="str">
        <f>"&lt;(" &amp; A41  &amp; ") 1 - Right, right... can't you explore the supermarket then?"  &amp; "__"</f>
        <v>&lt;(40) 1 - Right, right... can't you explore the supermarket then?__</v>
      </c>
    </row>
    <row r="41" spans="1:7" ht="168" customHeight="1" x14ac:dyDescent="0.25">
      <c r="A41" s="2">
        <v>40</v>
      </c>
      <c r="B41" s="5" t="s">
        <v>89</v>
      </c>
      <c r="C41" s="10" t="s">
        <v>90</v>
      </c>
      <c r="D41" s="10" t="str">
        <f>"&lt;(" &amp; A42  &amp; ") 1 - Go to the food section. ;44"  &amp; "__"</f>
        <v>&lt;(41) 1 - Go to the food section. ;44__</v>
      </c>
      <c r="E41" s="10" t="str">
        <f>"&lt;(" &amp; A43  &amp; ") 2 - Go to the craft section. ;45" &amp; "__"</f>
        <v>&lt;(42) 2 - Go to the craft section. ;45__</v>
      </c>
    </row>
    <row r="42" spans="1:7" ht="168" customHeight="1" x14ac:dyDescent="0.25">
      <c r="A42" s="1">
        <v>41</v>
      </c>
      <c r="B42" s="5" t="s">
        <v>91</v>
      </c>
      <c r="C42" s="10" t="s">
        <v>92</v>
      </c>
      <c r="D42" s="10" t="str">
        <f>"&lt;(" &amp; A46  &amp; ") 1 - Might be a better idea to go to the craft section..."  &amp; "__"</f>
        <v>&lt;(45) 1 - Might be a better idea to go to the craft section...__</v>
      </c>
      <c r="E42" s="10" t="str">
        <f>"&lt;(" &amp; A47  &amp; ") 2 - Can you keep going? there might be something interesting here."  &amp; "__"</f>
        <v>&lt;(46) 2 - Can you keep going? there might be something interesting here.__</v>
      </c>
    </row>
    <row r="43" spans="1:7" ht="168" customHeight="1" x14ac:dyDescent="0.25">
      <c r="A43" s="2">
        <v>42</v>
      </c>
      <c r="B43" s="5" t="s">
        <v>93</v>
      </c>
      <c r="C43" s="10" t="s">
        <v>94</v>
      </c>
      <c r="D43" s="10" t="str">
        <f>"&lt;(" &amp; A48  &amp; ") 1 - Do you see anything else?"  &amp; "__"</f>
        <v>&lt;(47) 1 - Do you see anything else?__</v>
      </c>
    </row>
    <row r="44" spans="1:7" ht="168" customHeight="1" x14ac:dyDescent="0.25">
      <c r="A44" s="1">
        <v>43</v>
      </c>
      <c r="B44" s="5" t="s">
        <v>95</v>
      </c>
      <c r="C44" s="10" t="s">
        <v>96</v>
      </c>
      <c r="D44" s="10" t="str">
        <f>"&lt;(" &amp; A48  &amp; ") 1 - Do you see anything else?"  &amp; "__"</f>
        <v>&lt;(47) 1 - Do you see anything else?__</v>
      </c>
    </row>
    <row r="45" spans="1:7" ht="168" customHeight="1" x14ac:dyDescent="0.25">
      <c r="A45" s="2">
        <v>44</v>
      </c>
      <c r="B45" s="5" t="s">
        <v>97</v>
      </c>
      <c r="C45" s="10" t="s">
        <v>98</v>
      </c>
      <c r="D45" s="10" t="str">
        <f>"&lt;(" &amp; A47  &amp; ") 2 - Can you keep going? there might be something interesting here."  &amp; "__"</f>
        <v>&lt;(46) 2 - Can you keep going? there might be something interesting here.__</v>
      </c>
    </row>
    <row r="46" spans="1:7" ht="168" customHeight="1" x14ac:dyDescent="0.25">
      <c r="A46" s="1">
        <v>45</v>
      </c>
      <c r="B46" s="5" t="s">
        <v>99</v>
      </c>
      <c r="C46" s="10" t="s">
        <v>100</v>
      </c>
      <c r="D46" s="10" t="str">
        <f>"&lt;(" &amp; A48  &amp; ") 1 - Is there something else interesting?"  &amp; "__"</f>
        <v>&lt;(47) 1 - Is there something else interesting?__</v>
      </c>
    </row>
    <row r="47" spans="1:7" ht="168" customHeight="1" x14ac:dyDescent="0.25">
      <c r="A47" s="2">
        <v>46</v>
      </c>
      <c r="B47" s="5" t="s">
        <v>101</v>
      </c>
      <c r="C47" s="10" t="s">
        <v>102</v>
      </c>
      <c r="D47" s="10" t="str">
        <f>"&lt;(" &amp; A51  &amp; ") 1 - Is there something else interesting?"  &amp; "__"</f>
        <v>&lt;(50) 1 - Is there something else interesting?__</v>
      </c>
    </row>
    <row r="48" spans="1:7" ht="168" customHeight="1" x14ac:dyDescent="0.25">
      <c r="A48" s="1">
        <v>47</v>
      </c>
      <c r="B48" s="5" t="s">
        <v>103</v>
      </c>
      <c r="C48" s="10" t="s">
        <v>104</v>
      </c>
      <c r="D48" s="10" t="str">
        <f>"&lt;(" &amp; A49  &amp; ") 1 - KICK THE DOOR DOWN! |"  &amp; "__"</f>
        <v>&lt;(48) 1 - KICK THE DOOR DOWN! |__</v>
      </c>
      <c r="E48" s="10" t="str">
        <f>"&lt;(" &amp; A48  &amp; ") 2 - Carefully open the door."  &amp; "__"</f>
        <v>&lt;(47) 2 - Carefully open the door.__</v>
      </c>
    </row>
    <row r="49" spans="1:9" ht="168" customHeight="1" x14ac:dyDescent="0.25">
      <c r="A49" s="2">
        <v>48</v>
      </c>
      <c r="C49" s="10" t="s">
        <v>105</v>
      </c>
      <c r="D49" s="10" t="str">
        <f>"&lt;(" &amp; A52  &amp; ") 1 - What is it?"  &amp; "__"</f>
        <v>&lt;(51) 1 - What is it?__</v>
      </c>
    </row>
    <row r="50" spans="1:9" ht="168" customHeight="1" x14ac:dyDescent="0.25">
      <c r="A50" s="1">
        <v>49</v>
      </c>
      <c r="C50" s="10" t="s">
        <v>106</v>
      </c>
      <c r="D50" s="10" t="str">
        <f>"&lt;(" &amp; A52  &amp; ") 1 - There's something beeping?"  &amp; "__"</f>
        <v>&lt;(51) 1 - There's something beeping?__</v>
      </c>
    </row>
    <row r="51" spans="1:9" ht="168" customHeight="1" x14ac:dyDescent="0.25">
      <c r="A51" s="2">
        <v>50</v>
      </c>
      <c r="B51" s="5" t="s">
        <v>107</v>
      </c>
      <c r="C51" s="10" t="s">
        <v>108</v>
      </c>
      <c r="D51" s="10" t="str">
        <f>"&lt;(" &amp; A52  &amp; ") 1 - What is it?"  &amp; "__"</f>
        <v>&lt;(51) 1 - What is it?__</v>
      </c>
    </row>
    <row r="52" spans="1:9" ht="168" customHeight="1" x14ac:dyDescent="0.25">
      <c r="A52" s="1">
        <v>51</v>
      </c>
      <c r="C52" s="10" t="s">
        <v>109</v>
      </c>
      <c r="D52" s="10" t="str">
        <f>"&lt;(" &amp; A51  &amp; ") 1 - Okay, go on, I'm searching that on my browser."  &amp; "__"</f>
        <v>&lt;(50) 1 - Okay, go on, I'm searching that on my browser.__</v>
      </c>
      <c r="H52" s="10" t="s">
        <v>110</v>
      </c>
    </row>
    <row r="53" spans="1:9" ht="168" customHeight="1" x14ac:dyDescent="0.25">
      <c r="A53" s="2">
        <v>52</v>
      </c>
      <c r="C53" s="10" t="s">
        <v>111</v>
      </c>
      <c r="D53" s="10" t="str">
        <f>"&lt;(" &amp; A54 &amp; ") 1 - 1903"  &amp; "__"</f>
        <v>&lt;(53) 1 - 1903__</v>
      </c>
      <c r="E53" s="10" t="str">
        <f>"&lt;(" &amp; A56  &amp; ") 2 - 1885"  &amp; "__"</f>
        <v>&lt;(55) 2 - 1885__</v>
      </c>
      <c r="F53" s="10" t="str">
        <f>"&lt;(" &amp; A54  &amp; ") 3 - 1850"  &amp; "__"</f>
        <v>&lt;(53) 3 - 1850__</v>
      </c>
      <c r="G53" s="10" t="str">
        <f>"&lt;(" &amp; A54  &amp; ") 4 - 1985"  &amp; "__"</f>
        <v>&lt;(53) 4 - 1985__</v>
      </c>
      <c r="H53" s="10" t="str">
        <f>"&lt;(" &amp; A54  &amp; ") 5 - 1895"  &amp; "__"</f>
        <v>&lt;(53) 5 - 1895__</v>
      </c>
      <c r="I53" s="9" t="s">
        <v>12</v>
      </c>
    </row>
    <row r="54" spans="1:9" ht="168" customHeight="1" x14ac:dyDescent="0.25">
      <c r="A54" s="1">
        <v>53</v>
      </c>
      <c r="C54" s="10" t="s">
        <v>112</v>
      </c>
      <c r="D54" s="10" t="str">
        <f>"&lt;(" &amp; A55  &amp; ") 1 -  Are you here?"  &amp; "__"</f>
        <v>&lt;(54) 1 -  Are you here?__</v>
      </c>
    </row>
    <row r="55" spans="1:9" ht="168" customHeight="1" x14ac:dyDescent="0.25">
      <c r="A55" s="2">
        <v>54</v>
      </c>
      <c r="C55" s="10" t="s">
        <v>113</v>
      </c>
      <c r="D55" s="10" t="str">
        <f>"$" &amp;A2  &amp; " 1 - Retry"  &amp; "__"</f>
        <v>$1 1 - Retry__</v>
      </c>
    </row>
    <row r="56" spans="1:9" ht="168" customHeight="1" x14ac:dyDescent="0.25">
      <c r="A56" s="1">
        <v>55</v>
      </c>
      <c r="C56" s="10" t="s">
        <v>114</v>
      </c>
      <c r="D56" s="10" t="str">
        <f>"&lt;(" &amp; A57  &amp; ") 1 - Are you still alive?"  &amp; "__"</f>
        <v>&lt;(56) 1 - Are you still alive?__</v>
      </c>
    </row>
    <row r="57" spans="1:9" ht="168" customHeight="1" x14ac:dyDescent="0.25">
      <c r="A57" s="2">
        <v>56</v>
      </c>
      <c r="C57" s="10" t="s">
        <v>115</v>
      </c>
      <c r="D57" s="10" t="str">
        <f>"&lt;(" &amp; A58  &amp; ") 1 - For real?"  &amp; "__"</f>
        <v>&lt;(57) 1 - For real?__</v>
      </c>
    </row>
    <row r="58" spans="1:9" ht="168" customHeight="1" x14ac:dyDescent="0.25">
      <c r="A58" s="1">
        <v>57</v>
      </c>
      <c r="B58" s="5" t="s">
        <v>116</v>
      </c>
      <c r="C58" s="10" t="s">
        <v>117</v>
      </c>
      <c r="D58" s="10" t="str">
        <f>"&lt;(" &amp; A59  &amp; ") 1 - You can climb it safely now!"  &amp; "__"</f>
        <v>&lt;(58) 1 - You can climb it safely now!__</v>
      </c>
    </row>
    <row r="59" spans="1:9" ht="168" customHeight="1" x14ac:dyDescent="0.25">
      <c r="A59" s="2">
        <v>58</v>
      </c>
      <c r="C59" s="10" t="s">
        <v>118</v>
      </c>
      <c r="D59" s="10" t="str">
        <f>"&lt;(" &amp; A62  &amp; ") 1 - Nice job! What's outside? @"  &amp; "__"</f>
        <v>&lt;(61) 1 - Nice job! What's outside? @__</v>
      </c>
      <c r="E59" s="10" t="str">
        <f>"&lt;(" &amp; A60  &amp; ") 2 - Okay, so you don't need my help anymore now?"  &amp; "__"</f>
        <v>&lt;(59) 2 - Okay, so you don't need my help anymore now?__</v>
      </c>
    </row>
    <row r="60" spans="1:9" ht="168" customHeight="1" x14ac:dyDescent="0.25">
      <c r="A60" s="1">
        <v>59</v>
      </c>
      <c r="C60" s="10" t="s">
        <v>119</v>
      </c>
      <c r="D60" s="10" t="str">
        <f>"&lt;(" &amp; A62  &amp; ") 1 - That seems fair, let's move forward. @"  &amp; "__"</f>
        <v>&lt;(61) 1 - That seems fair, let's move forward. @__</v>
      </c>
      <c r="E60" s="10" t="str">
        <f>"&lt;(" &amp; A61  &amp; ") 2 - I missed the part where your life's my problem. |"  &amp; "__"</f>
        <v>&lt;(60) 2 - I missed the part where your life's my problem. |__</v>
      </c>
    </row>
    <row r="61" spans="1:9" ht="168" customHeight="1" x14ac:dyDescent="0.25">
      <c r="A61" s="2">
        <v>60</v>
      </c>
      <c r="C61" s="10" t="s">
        <v>120</v>
      </c>
      <c r="D61" s="10" t="str">
        <f>"&lt;(" &amp; A62  &amp; ") 1 - You're the one exploring it, tell me what you see!"  &amp; "__"</f>
        <v>&lt;(61) 1 - You're the one exploring it, tell me what you see!__</v>
      </c>
    </row>
    <row r="62" spans="1:9" ht="168" customHeight="1" x14ac:dyDescent="0.25">
      <c r="A62" s="1">
        <v>61</v>
      </c>
      <c r="C62" s="10" t="s">
        <v>121</v>
      </c>
      <c r="D62" s="10" t="str">
        <f>"&lt;(" &amp; A63  &amp; ") 1 - What is it?"  &amp; "__"</f>
        <v>&lt;(62) 1 - What is it?__</v>
      </c>
    </row>
    <row r="63" spans="1:9" ht="168" customHeight="1" x14ac:dyDescent="0.25">
      <c r="A63" s="2">
        <v>62</v>
      </c>
      <c r="C63" s="10" t="s">
        <v>122</v>
      </c>
      <c r="D63" s="10" t="str">
        <f>"&lt;(" &amp; A64  &amp; ") 1 - That's it! That's your way out! @"  &amp; "__"</f>
        <v>&lt;(63) 1 - That's it! That's your way out! @__</v>
      </c>
      <c r="E63" s="10" t="str">
        <f>"&lt;(" &amp; A65  &amp; ") 2 - Too obvious… It's a trap."  &amp; "__"</f>
        <v>&lt;(64) 2 - Too obvious… It's a trap.__</v>
      </c>
    </row>
    <row r="64" spans="1:9" ht="168" customHeight="1" x14ac:dyDescent="0.25">
      <c r="A64" s="1">
        <v>63</v>
      </c>
      <c r="C64" s="10" t="s">
        <v>123</v>
      </c>
      <c r="D64" s="10" t="str">
        <f>"&lt;(" &amp; A67  &amp; ") 1 - So, you're going to search for it?"  &amp; "__"</f>
        <v>&lt;(66) 1 - So, you're going to search for it?__</v>
      </c>
    </row>
    <row r="65" spans="1:6" ht="168" customHeight="1" x14ac:dyDescent="0.25">
      <c r="A65" s="2">
        <v>64</v>
      </c>
      <c r="C65" s="10" t="s">
        <v>124</v>
      </c>
      <c r="D65" s="10" t="str">
        <f>"&lt;(" &amp; A66  &amp; ") 1 - Can you open it then?"  &amp; "__"</f>
        <v>&lt;(65) 1 - Can you open it then?__</v>
      </c>
    </row>
    <row r="66" spans="1:6" ht="168" customHeight="1" x14ac:dyDescent="0.25">
      <c r="A66" s="1">
        <v>65</v>
      </c>
      <c r="C66" s="10" t="s">
        <v>125</v>
      </c>
      <c r="D66" s="10" t="str">
        <f>"&lt;(" &amp; A67  &amp; ") 1 - You're going to search for it?"  &amp; "__"</f>
        <v>&lt;(66) 1 - You're going to search for it?__</v>
      </c>
    </row>
    <row r="67" spans="1:6" ht="168" customHeight="1" x14ac:dyDescent="0.25">
      <c r="A67" s="2">
        <v>66</v>
      </c>
      <c r="C67" s="10" t="s">
        <v>126</v>
      </c>
      <c r="D67" s="10" t="str">
        <f>"&lt;(" &amp; A73  &amp; ") 1 - Maybe check what's around?"  &amp; "__"</f>
        <v>&lt;(72) 1 - Maybe check what's around?__</v>
      </c>
      <c r="E67" s="10" t="str">
        <f>"&lt;(" &amp; A68  &amp; ") 2 - Wasn't there a fuse back in the supermarket?"  &amp; "__"</f>
        <v>&lt;(67) 2 - Wasn't there a fuse back in the supermarket?__</v>
      </c>
    </row>
    <row r="68" spans="1:6" ht="168" customHeight="1" x14ac:dyDescent="0.25">
      <c r="A68" s="1">
        <v>67</v>
      </c>
      <c r="C68" s="10" t="s">
        <v>127</v>
      </c>
      <c r="D68" s="10" t="str">
        <f>"&lt;(" &amp; A69  &amp; ") 1 - Are you sure you can't go back in the supermarket? |"  &amp; "__"</f>
        <v>&lt;(68) 1 - Are you sure you can't go back in the supermarket? |__</v>
      </c>
      <c r="E68" s="10" t="str">
        <f>"&lt;(" &amp; A73  &amp; ") 2 - Okay, let's check what's here then."  &amp; "__"</f>
        <v>&lt;(72) 2 - Okay, let's check what's here then.__</v>
      </c>
    </row>
    <row r="69" spans="1:6" ht="168" customHeight="1" x14ac:dyDescent="0.25">
      <c r="A69" s="2">
        <v>68</v>
      </c>
      <c r="C69" s="10" t="s">
        <v>128</v>
      </c>
      <c r="D69" s="10" t="str">
        <f>"&lt;(" &amp; A74  &amp; ") 1 - Is there not any other location you can go to? ;70"  &amp; "__"</f>
        <v>&lt;(73) 1 - Is there not any other location you can go to? ;70__</v>
      </c>
      <c r="E69" s="10" t="str">
        <f>"&lt;(" &amp; A70  &amp; ") 2 - In which do you want to go?"  &amp; "__"</f>
        <v>&lt;(69) 2 - In which do you want to go?__</v>
      </c>
    </row>
    <row r="70" spans="1:6" ht="168" customHeight="1" x14ac:dyDescent="0.25">
      <c r="A70" s="1">
        <v>69</v>
      </c>
      <c r="C70" s="10" t="s">
        <v>129</v>
      </c>
      <c r="D70" s="10" t="str">
        <f>"&lt;(" &amp; A67  &amp; ") 1 - Let's go to the zoo!"  &amp; "__"</f>
        <v>&lt;(66) 1 - Let's go to the zoo!__</v>
      </c>
      <c r="E70" s="10" t="str">
        <f>"&lt;(" &amp; A69  &amp; ") 2 - Let's go to the factory!"  &amp; "__"</f>
        <v>&lt;(68) 2 - Let's go to the factory!__</v>
      </c>
    </row>
    <row r="71" spans="1:6" ht="168" customHeight="1" x14ac:dyDescent="0.25">
      <c r="A71" s="2">
        <v>70</v>
      </c>
      <c r="C71" s="10" t="s">
        <v>130</v>
      </c>
      <c r="D71" s="10" t="str">
        <f>"&lt;(" &amp; A72  &amp; ") 1 - So, where are you heading then?"  &amp; "__"</f>
        <v>&lt;(71) 1 - So, where are you heading then?__</v>
      </c>
    </row>
    <row r="72" spans="1:6" ht="168" customHeight="1" x14ac:dyDescent="0.25">
      <c r="A72" s="1">
        <v>71</v>
      </c>
      <c r="C72" s="10" t="s">
        <v>131</v>
      </c>
      <c r="D72" s="10" t="str">
        <f>"&lt;(" &amp; A69  &amp; ") 1 - Let's go to the zoo!"  &amp; "__"</f>
        <v>&lt;(68) 1 - Let's go to the zoo!__</v>
      </c>
      <c r="E72" s="10" t="str">
        <f>"&lt;(" &amp; A71  &amp; ") 2 - Let's go to the factory!"  &amp; "__"</f>
        <v>&lt;(70) 2 - Let's go to the factory!__</v>
      </c>
      <c r="F72" s="10" t="str">
        <f>"&lt;(" &amp; A71  &amp; ") 3 - Let's go to the museum!"  &amp; "__"</f>
        <v>&lt;(70) 3 - Let's go to the museum!__</v>
      </c>
    </row>
    <row r="73" spans="1:6" ht="168" customHeight="1" x14ac:dyDescent="0.25">
      <c r="A73" s="2">
        <v>72</v>
      </c>
      <c r="C73" s="10" t="s">
        <v>132</v>
      </c>
      <c r="D73" s="10" t="str">
        <f>"&lt;(" &amp; A74  &amp; ") 1 - Is there not any other location you can go to? ;70"  &amp; "__"</f>
        <v>&lt;(73) 1 - Is there not any other location you can go to? ;70__</v>
      </c>
      <c r="E73" s="10" t="str">
        <f>"&lt;(" &amp; A70  &amp; ") 2 - In which do you want to go?"  &amp; "__"</f>
        <v>&lt;(69) 2 - In which do you want to go?__</v>
      </c>
    </row>
    <row r="74" spans="1:6" ht="168" customHeight="1" x14ac:dyDescent="0.25">
      <c r="A74" s="1">
        <v>73</v>
      </c>
      <c r="C74" s="10" t="s">
        <v>133</v>
      </c>
      <c r="D74" s="10" t="str">
        <f>"&lt;(" &amp; A70  &amp; ") 1 - Right. Where are you heading?"  &amp; "__"</f>
        <v>&lt;(69) 1 - Right. Where are you heading?__</v>
      </c>
    </row>
    <row r="77" spans="1:6" ht="168" customHeight="1" x14ac:dyDescent="0.25">
      <c r="E77" s="12"/>
      <c r="F77" s="12"/>
    </row>
    <row r="78" spans="1:6" ht="168" customHeight="1" x14ac:dyDescent="0.25">
      <c r="E78" s="12"/>
      <c r="F78" s="12"/>
    </row>
    <row r="79" spans="1:6" ht="168" customHeight="1" x14ac:dyDescent="0.25">
      <c r="E79" s="12"/>
      <c r="F79" s="12"/>
    </row>
    <row r="80" spans="1:6" ht="168" customHeight="1" x14ac:dyDescent="0.25">
      <c r="E80" s="12"/>
      <c r="F80" s="12"/>
    </row>
    <row r="81" spans="5:6" ht="168" customHeight="1" x14ac:dyDescent="0.25">
      <c r="E81" s="12"/>
      <c r="F81" s="12"/>
    </row>
    <row r="82" spans="5:6" ht="168" customHeight="1" x14ac:dyDescent="0.25">
      <c r="E82" s="12"/>
      <c r="F82" s="12"/>
    </row>
    <row r="83" spans="5:6" ht="168" customHeight="1" x14ac:dyDescent="0.25">
      <c r="E83" s="12"/>
      <c r="F83" s="12"/>
    </row>
    <row r="84" spans="5:6" ht="168" customHeight="1" x14ac:dyDescent="0.25">
      <c r="E84" s="12"/>
      <c r="F84" s="12"/>
    </row>
    <row r="85" spans="5:6" ht="168" customHeight="1" x14ac:dyDescent="0.25">
      <c r="E85" s="12"/>
      <c r="F85" s="12"/>
    </row>
    <row r="86" spans="5:6" ht="168" customHeight="1" x14ac:dyDescent="0.25">
      <c r="E86" s="12"/>
      <c r="F86" s="12"/>
    </row>
    <row r="87" spans="5:6" ht="168" customHeight="1" x14ac:dyDescent="0.25">
      <c r="E87" s="12"/>
      <c r="F87" s="12"/>
    </row>
    <row r="88" spans="5:6" ht="168" customHeight="1" x14ac:dyDescent="0.25">
      <c r="E88" s="12"/>
      <c r="F88" s="12"/>
    </row>
    <row r="89" spans="5:6" ht="168" customHeight="1" x14ac:dyDescent="0.25">
      <c r="E89" s="12"/>
      <c r="F89" s="12"/>
    </row>
    <row r="90" spans="5:6" ht="168" customHeight="1" x14ac:dyDescent="0.25">
      <c r="E90" s="12"/>
      <c r="F90" s="12"/>
    </row>
    <row r="91" spans="5:6" ht="168" customHeight="1" x14ac:dyDescent="0.25">
      <c r="E91" s="12"/>
      <c r="F91" s="12"/>
    </row>
    <row r="92" spans="5:6" ht="168" customHeight="1" x14ac:dyDescent="0.25">
      <c r="E92" s="12"/>
      <c r="F92" s="12"/>
    </row>
    <row r="93" spans="5:6" ht="168" customHeight="1" x14ac:dyDescent="0.25">
      <c r="E93" s="12"/>
      <c r="F93" s="12"/>
    </row>
    <row r="94" spans="5:6" ht="168" customHeight="1" x14ac:dyDescent="0.25">
      <c r="E94" s="12"/>
      <c r="F94" s="12"/>
    </row>
    <row r="95" spans="5:6" ht="168" customHeight="1" x14ac:dyDescent="0.25">
      <c r="E95" s="12"/>
      <c r="F95" s="12"/>
    </row>
    <row r="96" spans="5:6" ht="168" customHeight="1" x14ac:dyDescent="0.25">
      <c r="E96" s="12"/>
      <c r="F96" s="12"/>
    </row>
    <row r="97" spans="5:6" ht="168" customHeight="1" x14ac:dyDescent="0.25">
      <c r="E97" s="12"/>
      <c r="F97" s="12"/>
    </row>
    <row r="98" spans="5:6" ht="168" customHeight="1" x14ac:dyDescent="0.25">
      <c r="E98" s="12"/>
      <c r="F98" s="12"/>
    </row>
    <row r="99" spans="5:6" ht="168" customHeight="1" x14ac:dyDescent="0.25">
      <c r="E99" s="12"/>
      <c r="F99" s="12"/>
    </row>
    <row r="100" spans="5:6" ht="168" customHeight="1" x14ac:dyDescent="0.25">
      <c r="E100" s="12"/>
      <c r="F100" s="12"/>
    </row>
    <row r="101" spans="5:6" ht="168" customHeight="1" x14ac:dyDescent="0.25">
      <c r="E101" s="12"/>
      <c r="F101" s="12"/>
    </row>
    <row r="102" spans="5:6" ht="168" customHeight="1" x14ac:dyDescent="0.25">
      <c r="E102" s="12"/>
      <c r="F102" s="1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Killian FURNO</cp:lastModifiedBy>
  <cp:revision/>
  <dcterms:created xsi:type="dcterms:W3CDTF">2023-11-08T13:15:22Z</dcterms:created>
  <dcterms:modified xsi:type="dcterms:W3CDTF">2025-10-12T10:26:58Z</dcterms:modified>
  <cp:category/>
  <cp:contentStatus/>
</cp:coreProperties>
</file>